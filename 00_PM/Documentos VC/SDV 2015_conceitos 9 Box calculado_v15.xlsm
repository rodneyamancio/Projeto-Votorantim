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drawings/drawing4.xml" ContentType="application/vnd.openxmlformats-officedocument.drawing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135" windowWidth="15120" windowHeight="7410" firstSheet="1" activeTab="1"/>
  </bookViews>
  <sheets>
    <sheet name="Plan1" sheetId="1" state="hidden" r:id="rId1"/>
    <sheet name="Réguas" sheetId="5" r:id="rId2"/>
    <sheet name="Det. Eixo Horizontal" sheetId="6" state="hidden" r:id="rId3"/>
    <sheet name="Simulador Eixo Horizontal" sheetId="2" r:id="rId4"/>
    <sheet name="Simulador Eixo Vertical" sheetId="3" r:id="rId5"/>
    <sheet name="Box Final" sheetId="4" r:id="rId6"/>
  </sheets>
  <calcPr calcId="144525"/>
</workbook>
</file>

<file path=xl/calcChain.xml><?xml version="1.0" encoding="utf-8"?>
<calcChain xmlns="http://schemas.openxmlformats.org/spreadsheetml/2006/main">
  <c r="E4" i="4" l="1"/>
  <c r="E3" i="4"/>
  <c r="E2" i="4"/>
  <c r="D4" i="4"/>
  <c r="D3" i="4"/>
  <c r="D2" i="4"/>
  <c r="C4" i="4"/>
  <c r="C3" i="4"/>
  <c r="C2" i="4"/>
  <c r="D23" i="3" l="1"/>
  <c r="I5" i="3"/>
  <c r="J30" i="2"/>
  <c r="I29" i="2"/>
  <c r="I27" i="2"/>
  <c r="I26" i="2"/>
  <c r="I11" i="2"/>
  <c r="J11" i="2"/>
  <c r="L6" i="3" l="1"/>
  <c r="L5" i="3"/>
  <c r="L7" i="3"/>
  <c r="I19" i="3"/>
  <c r="I13" i="3"/>
  <c r="I8" i="3" l="1"/>
  <c r="I17" i="3"/>
  <c r="I9" i="3"/>
  <c r="I12" i="3"/>
  <c r="I6" i="3"/>
  <c r="I16" i="3"/>
  <c r="I10" i="3"/>
  <c r="I14" i="3"/>
  <c r="I18" i="3"/>
  <c r="F31" i="3" s="1"/>
  <c r="I7" i="3"/>
  <c r="I11" i="3"/>
  <c r="I15" i="3"/>
  <c r="J21" i="2"/>
  <c r="J20" i="2"/>
  <c r="J19" i="2"/>
  <c r="J18" i="2"/>
  <c r="J17" i="2"/>
  <c r="J16" i="2"/>
  <c r="J15" i="2"/>
  <c r="J14" i="2"/>
  <c r="J13" i="2"/>
  <c r="J12" i="2"/>
  <c r="I21" i="2"/>
  <c r="D29" i="3" l="1"/>
  <c r="I20" i="3"/>
  <c r="E30" i="3"/>
  <c r="F29" i="3"/>
  <c r="D31" i="3"/>
  <c r="J33" i="2"/>
  <c r="J32" i="2"/>
  <c r="J29" i="2"/>
  <c r="J27" i="2"/>
  <c r="J26" i="2"/>
  <c r="J35" i="2"/>
  <c r="I45" i="2"/>
  <c r="I44" i="2"/>
  <c r="I42" i="2"/>
  <c r="I41" i="2"/>
  <c r="I39" i="2"/>
  <c r="I38" i="2"/>
  <c r="I36" i="2"/>
  <c r="I35" i="2"/>
  <c r="I33" i="2"/>
  <c r="I32" i="2"/>
  <c r="I30" i="2"/>
  <c r="C46" i="2" l="1"/>
  <c r="C52" i="2" s="1"/>
  <c r="D25" i="3"/>
  <c r="D24" i="3"/>
  <c r="J25" i="2"/>
  <c r="H25" i="2" s="1"/>
  <c r="I25" i="2" s="1"/>
  <c r="J31" i="2"/>
  <c r="H31" i="2" s="1"/>
  <c r="I31" i="2" s="1"/>
  <c r="J28" i="2"/>
  <c r="H28" i="2" s="1"/>
  <c r="I28" i="2" s="1"/>
  <c r="I20" i="2" l="1"/>
  <c r="I19" i="2"/>
  <c r="I18" i="2"/>
  <c r="I17" i="2"/>
  <c r="I16" i="2"/>
  <c r="I15" i="2"/>
  <c r="I14" i="2"/>
  <c r="I13" i="2"/>
  <c r="I12" i="2"/>
  <c r="C51" i="2" l="1"/>
  <c r="C22" i="2"/>
  <c r="C5" i="2"/>
  <c r="C8" i="2" s="1"/>
  <c r="C49" i="2" l="1"/>
  <c r="C50" i="2"/>
  <c r="J45" i="2"/>
  <c r="J44" i="2"/>
  <c r="J42" i="2"/>
  <c r="J41" i="2"/>
  <c r="J39" i="2"/>
  <c r="J38" i="2"/>
  <c r="J36" i="2"/>
  <c r="J34" i="2" s="1"/>
  <c r="H34" i="2" s="1"/>
  <c r="C53" i="2" l="1"/>
  <c r="J43" i="2"/>
  <c r="H43" i="2" s="1"/>
  <c r="I43" i="2" s="1"/>
  <c r="J40" i="2"/>
  <c r="H40" i="2" s="1"/>
  <c r="I40" i="2" s="1"/>
  <c r="J37" i="2"/>
  <c r="H37" i="2" s="1"/>
  <c r="I37" i="2" s="1"/>
  <c r="I34" i="2"/>
  <c r="C57" i="2" l="1"/>
  <c r="B57" i="2"/>
  <c r="K3" i="1" l="1"/>
  <c r="K2" i="1"/>
  <c r="K1" i="1"/>
</calcChain>
</file>

<file path=xl/sharedStrings.xml><?xml version="1.0" encoding="utf-8"?>
<sst xmlns="http://schemas.openxmlformats.org/spreadsheetml/2006/main" count="346" uniqueCount="218">
  <si>
    <r>
      <t>a.</t>
    </r>
    <r>
      <rPr>
        <sz val="7"/>
        <color theme="1"/>
        <rFont val="Times New Roman"/>
        <family val="1"/>
      </rPr>
      <t xml:space="preserve">    </t>
    </r>
    <r>
      <rPr>
        <sz val="12"/>
        <color theme="1"/>
        <rFont val="Arial"/>
        <family val="2"/>
      </rPr>
      <t>Não sei avaliar</t>
    </r>
  </si>
  <si>
    <r>
      <t>b.</t>
    </r>
    <r>
      <rPr>
        <sz val="7"/>
        <color theme="1"/>
        <rFont val="Times New Roman"/>
        <family val="1"/>
      </rPr>
      <t xml:space="preserve">    </t>
    </r>
    <r>
      <rPr>
        <sz val="12"/>
        <color theme="1"/>
        <rFont val="Arial"/>
        <family val="2"/>
      </rPr>
      <t>Não é típico</t>
    </r>
  </si>
  <si>
    <r>
      <t>c.</t>
    </r>
    <r>
      <rPr>
        <sz val="7"/>
        <color theme="1"/>
        <rFont val="Times New Roman"/>
        <family val="1"/>
      </rPr>
      <t xml:space="preserve">    </t>
    </r>
    <r>
      <rPr>
        <sz val="12"/>
        <color theme="1"/>
        <rFont val="Arial"/>
        <family val="2"/>
      </rPr>
      <t>Algumas situações</t>
    </r>
  </si>
  <si>
    <r>
      <t>d.</t>
    </r>
    <r>
      <rPr>
        <sz val="7"/>
        <color theme="1"/>
        <rFont val="Times New Roman"/>
        <family val="1"/>
      </rPr>
      <t xml:space="preserve">    </t>
    </r>
    <r>
      <rPr>
        <sz val="12"/>
        <color theme="1"/>
        <rFont val="Arial"/>
        <family val="2"/>
      </rPr>
      <t>Padrão de comportamento</t>
    </r>
  </si>
  <si>
    <t>Ponto forte</t>
  </si>
  <si>
    <t>metas</t>
  </si>
  <si>
    <t>Ponto Forte</t>
  </si>
  <si>
    <t>Crenças</t>
  </si>
  <si>
    <t>Não é tipico</t>
  </si>
  <si>
    <t>Algumas situações</t>
  </si>
  <si>
    <t>Padrão de comprtamento</t>
  </si>
  <si>
    <t>B</t>
  </si>
  <si>
    <t>A</t>
  </si>
  <si>
    <t>C</t>
  </si>
  <si>
    <t>ter a média da pontuação de crenças e colocar na mesma régua de metas</t>
  </si>
  <si>
    <t>eixo horizontal a/b/c</t>
  </si>
  <si>
    <t>eixo vertical</t>
  </si>
  <si>
    <t>pegar as perguntas  - separar conforme as agilidades - cada agilidade tem que somar no mínimo 4 pontos</t>
  </si>
  <si>
    <t>as agilidades tem pesos iguais e nenhuma pode ser zerada</t>
  </si>
  <si>
    <t>pergunta em cima e gráfico de box embaixo</t>
  </si>
  <si>
    <t>Apoio botão</t>
  </si>
  <si>
    <t>Pontuação final</t>
  </si>
  <si>
    <t>Não é típico</t>
  </si>
  <si>
    <t>Padrão de comportamento</t>
  </si>
  <si>
    <t>Facilita a mobilidade interna, cedendo ou recebendo pessoas de outras áreas.</t>
  </si>
  <si>
    <t>Cria um ambiente de trabalho motivador e inspirador.</t>
  </si>
  <si>
    <t>Cria condições e dá oportunidades para que as pessoas exerçam seu potencial.</t>
  </si>
  <si>
    <t>Reconhece as pessoas que apresentam desempenhos diferenciados.</t>
  </si>
  <si>
    <t>Cria, inova e estabelece novas e melhores práticas.</t>
  </si>
  <si>
    <t>Supera desafios com disciplina, humildade e simplicidade.</t>
  </si>
  <si>
    <t>Surpreende os outros positivamente pelas soluções e resultados apresentados.</t>
  </si>
  <si>
    <t>Trata as pessoas de forma diferenciada, de acordo com as suas entregas, administra conflitos.</t>
  </si>
  <si>
    <t>Atua com simplicidade e bom senso.</t>
  </si>
  <si>
    <t>Identifica as prioridades considerando o todo e a visão do futuro.</t>
  </si>
  <si>
    <t>Age de acordo com o que fala.</t>
  </si>
  <si>
    <t>Cria um ambiente de confiança, com espaço para falar e ouvir.</t>
  </si>
  <si>
    <t>Prioriza o contato e a comunicação direta.</t>
  </si>
  <si>
    <t>Compartilha desafios para identificar as melhores soluções.</t>
  </si>
  <si>
    <t>Cria e fortalece relações e alianças genuínas em que todos ganham.</t>
  </si>
  <si>
    <t>Chama para si a responsabilidade e demonstra comprometimento.</t>
  </si>
  <si>
    <t>Identifica-se com a empresa e cuida dela como se fosse sua.</t>
  </si>
  <si>
    <t>Resultado</t>
  </si>
  <si>
    <t>Eixo Horizontal</t>
  </si>
  <si>
    <t>Metas</t>
  </si>
  <si>
    <t>Abaixo do esperado</t>
  </si>
  <si>
    <t>Acima do esperado</t>
  </si>
  <si>
    <t>Mental</t>
  </si>
  <si>
    <t>Pessoas</t>
  </si>
  <si>
    <t>Autoconhecimento</t>
  </si>
  <si>
    <t>Não sei avaliar</t>
  </si>
  <si>
    <t>Eixo Vertical</t>
  </si>
  <si>
    <t>Sem evolução</t>
  </si>
  <si>
    <t>Evolução de 1 passo</t>
  </si>
  <si>
    <t>Evolução de 2 passos</t>
  </si>
  <si>
    <t>Dentro do esperado</t>
  </si>
  <si>
    <t>De</t>
  </si>
  <si>
    <t>Até</t>
  </si>
  <si>
    <t>Nota na régua</t>
  </si>
  <si>
    <t>Pontos Metas</t>
  </si>
  <si>
    <t>Escala de pontos</t>
  </si>
  <si>
    <t>Box</t>
  </si>
  <si>
    <t>Após serem preenchidas as informações dos eixos horizontal e vertical, a projeção do box será automática</t>
  </si>
  <si>
    <t>Conversa sobre pontos fortes e pontos a melhorar e ajuda no desenvolvimento.</t>
  </si>
  <si>
    <t>Desenvolve e utiliza a rede de relacionamentos para gerar valor aos clientes internos e externos.</t>
  </si>
  <si>
    <t>Provoca a organização no rompimento de paradigmas</t>
  </si>
  <si>
    <t>Otimiza recursos, estabelece a melhor relação custo / benefício.</t>
  </si>
  <si>
    <t>Resultados</t>
  </si>
  <si>
    <t>Mudanças</t>
  </si>
  <si>
    <t>Meta Y-2</t>
  </si>
  <si>
    <t>Meta Y-1</t>
  </si>
  <si>
    <t>A média será traduzida na régua abaixo:</t>
  </si>
  <si>
    <t>Para metas, considerar a média do alcance nos últimos dois anos.</t>
  </si>
  <si>
    <t>Número</t>
  </si>
  <si>
    <t>Comportamento</t>
  </si>
  <si>
    <t>Justificativa</t>
  </si>
  <si>
    <t>Cultivo de Talentos</t>
  </si>
  <si>
    <t>Identifica e traz talentos para a organização.</t>
  </si>
  <si>
    <t>Investe tempo no desenvolvimento das pessoas.</t>
  </si>
  <si>
    <t>Nas suas decisões, considera o momento pessoal e as expectativas de carreira do indivíduo.</t>
  </si>
  <si>
    <t>Sabe identificar e usar as melhores competências/habilidades das pessoas.</t>
  </si>
  <si>
    <t>Meritocracia</t>
  </si>
  <si>
    <t>Confia em seu próprio trabalho e na sua capacidade de contribuir para a empresa.</t>
  </si>
  <si>
    <t>Toma decisões sobre pessoas baseado no alinhamento com os Valores e Crenças do Grupo.</t>
  </si>
  <si>
    <t>Toma decisões sobre pessoas baseado no desempenho individual e coletivo.</t>
  </si>
  <si>
    <t>Excelência</t>
  </si>
  <si>
    <t>Atua com senso crítico, compara e aprende com a experiência.</t>
  </si>
  <si>
    <t>Busca continuamente se superar.</t>
  </si>
  <si>
    <t>Pragmatismo</t>
  </si>
  <si>
    <t>Aceita, reconhece e utiliza boas ideias, mesmo quando não são suas.</t>
  </si>
  <si>
    <t>Desapega-se de dogmas e verdades absolutas.</t>
  </si>
  <si>
    <t>Identifica e atua no que é prioritário e relevante.</t>
  </si>
  <si>
    <t>Diálogo Aberto</t>
  </si>
  <si>
    <t>Adota uma postura aberta para receber, expor e utilizar novas ideias.</t>
  </si>
  <si>
    <t>Considera e estimula a diversidade de opiniões.</t>
  </si>
  <si>
    <t>Demonstra coragem para expor suas próprias ideias.</t>
  </si>
  <si>
    <t>É ágil e proativo no repasse de informações relevantes.</t>
  </si>
  <si>
    <t>Aliança</t>
  </si>
  <si>
    <t>Conquista o comprometimento dos demais envolvidos em seus projetos.</t>
  </si>
  <si>
    <t>Tem espírito de time e torna clientes, fornecedores e comunidade seus parceiros.</t>
  </si>
  <si>
    <t>Toma atitudes que contribuem com os demais.</t>
  </si>
  <si>
    <t>Senso de Dono</t>
  </si>
  <si>
    <t>Demostra coragem para apresentar ideias, considerando os riscos envolvidos.</t>
  </si>
  <si>
    <t>Demostra paixão pelo que faz.</t>
  </si>
  <si>
    <t>Procura e está atento a novas oportunidades e riscos</t>
  </si>
  <si>
    <t>Gestão do Desempenho da Área</t>
  </si>
  <si>
    <t>Cumpre os objetivos, identifica rapidamente e corrige prontamente desvios</t>
  </si>
  <si>
    <t xml:space="preserve">Atua com uma perspectiva “cliente” </t>
  </si>
  <si>
    <t>Gerencia riscos</t>
  </si>
  <si>
    <t>Otimiza recursos, estabelece a melhor relação custo / benefício</t>
  </si>
  <si>
    <t xml:space="preserve">Aplica sistematicamente os processos de gestão definidos pela unidade / corporação VID </t>
  </si>
  <si>
    <t>Gestão do Longo Prazo</t>
  </si>
  <si>
    <t>Tem clareza da natureza dos impactos de sua área no negócio</t>
  </si>
  <si>
    <t>Estabelece plano de ações de longo prazo para sua área (distinto das metas de curto prazo)</t>
  </si>
  <si>
    <t xml:space="preserve">Na definição de  seu plano de longo prazo considera as forças e fraquezas de sua área,  avalia diferentes eventos da conjuntura externa e  analisa tendências </t>
  </si>
  <si>
    <t>Faz a  relação entre as ações de seu plano de longo prazo com demais áreas, identificando sinergias e considerando impactos</t>
  </si>
  <si>
    <t>Gestão da Inovação</t>
  </si>
  <si>
    <t>Estimula a troca interna e externa de conhecimento</t>
  </si>
  <si>
    <t>Influencia, convence, mobiliza pessoas para as transformações necessárias</t>
  </si>
  <si>
    <t>É conectado com o mundo exterior e cria um ambiente propício à inovação</t>
  </si>
  <si>
    <t>Gestão de Pessoas</t>
  </si>
  <si>
    <t xml:space="preserve">Identifica as competências das pessoas e de seu alinhamento com os Valores / Crenças; atribui responsabilidades de acordo com esses perfis. </t>
  </si>
  <si>
    <t xml:space="preserve">Analisa regularmente o desempenho,  transmite de forma construtiva os pontos de melhoria e incentiva os progressos </t>
  </si>
  <si>
    <t>Promove ações para desenvolvimento, cria oportunidades para melhoria de performance e evoluções de carreira.</t>
  </si>
  <si>
    <t>Pratica constantemente o reconhecimento, influencia positivamente na motivação e cria um clima favorável ao alto desempenho</t>
  </si>
  <si>
    <t>Sugestão de mudança no texto</t>
  </si>
  <si>
    <t>Dá feedback construtivo.</t>
  </si>
  <si>
    <t>Faz gestão das suas metas e da rotina, garantindo a entrega dos resultados e das responsabilidades do seu cargo.</t>
  </si>
  <si>
    <t>Perguntas não consideradas</t>
  </si>
  <si>
    <t>Agilidade</t>
  </si>
  <si>
    <t>Cultivo de Talentos: Acreditamos e confiamos nas pessoas e, por isso, investimos tempo e recursos cultivando nossos talentos.</t>
  </si>
  <si>
    <t>Meritocracia: Acreditamos que as pessoas são únicas e, por isso, merecem ser valorizadas de forma justa e de acordo com suas entregas.</t>
  </si>
  <si>
    <t>Senso de Dono: Acreditamos naqueles que assumem responsabilidades, trabalham com paixão e lideram pelo exemplo, comemorando as conquistas e transformando erros em aprendizados.</t>
  </si>
  <si>
    <t>Aliança: Acreditamos que nosso sucesso é fruto da construção conjunta, fortalecido por relações e alianças genuínas em que todos ganham.</t>
  </si>
  <si>
    <t>Diálogo Aberto: Acreditamos que um ambiente de confiança propicia diálogo e espaço para falar e ser ouvido, onde a diversidade de opiniões constrói melhores soluções.</t>
  </si>
  <si>
    <t>Pragmatismo: Acreditamos ser essencial dedicar esforços ao que é relevante, com objetividade e sem perder a visão do todo e do futuro.</t>
  </si>
  <si>
    <t>Excelência: Acreditamos que podemos fazer sempre mais e melhor, superando os desafios com disciplina, humildade e simplicidade.</t>
  </si>
  <si>
    <t>Apoio média botão</t>
  </si>
  <si>
    <t>Pontos Fortes</t>
  </si>
  <si>
    <t>Pontos a fortalecer</t>
  </si>
  <si>
    <t>Gestão da execução Curto e Longo Prazo</t>
  </si>
  <si>
    <t>Desempenho na função</t>
  </si>
  <si>
    <t>Nota desempenho na função</t>
  </si>
  <si>
    <t>Nota Metas</t>
  </si>
  <si>
    <t>Nota Final</t>
  </si>
  <si>
    <t>Para desempenho na função, elaborarmos uma lista com as melhores atitudes da Gente Votorantim na função.</t>
  </si>
  <si>
    <t>Regra</t>
  </si>
  <si>
    <t>Média                        ;</t>
  </si>
  <si>
    <t>Pontos Desempenho na Função</t>
  </si>
  <si>
    <t>Os comportamentos das crenças, abaixo do que é esperado, irá reduzir a média das pontuações acima.</t>
  </si>
  <si>
    <t>(média de ptos comportamentos das crenças)/280</t>
  </si>
  <si>
    <t>O resultado apurado em cada frase será traduzido na régua abaixo:</t>
  </si>
  <si>
    <t>A nota final deste eixo horizontal será obtida através da seguinte equação:</t>
  </si>
  <si>
    <t xml:space="preserve"> </t>
  </si>
  <si>
    <t>É conectado com o mundo exterior e cria um ambiente propício à inovação.</t>
  </si>
  <si>
    <t>Pontuação Metas</t>
  </si>
  <si>
    <t>Pontuação Final</t>
  </si>
  <si>
    <t>Obs.:Os principais ponto forte e a fortalecer serão trazidos de maneira automática. Caso haja necessidade, mais um de cada pode ser adicionado.</t>
  </si>
  <si>
    <t>Similar aos comportamentos de "Diálogo Aberto"</t>
  </si>
  <si>
    <t>Similar aos comportamentos de "Aliança"</t>
  </si>
  <si>
    <t>Similar aos comportamentos de "Cultivo de Talentos"</t>
  </si>
  <si>
    <t>Similar aos comportamentos de "Meritocracia"</t>
  </si>
  <si>
    <t>Similar as perguntas 9 e 10</t>
  </si>
  <si>
    <t>Visivelmente melhor ou mais frequente</t>
  </si>
  <si>
    <t>Não tão bom ou não tão frequente</t>
  </si>
  <si>
    <t>Frequência ou intensidade do comportamento em relação a maioria</t>
  </si>
  <si>
    <t>É rápido, estabelece relações não óbvias e correlaciona inúmeras variáveis ao formar uma opinião.</t>
  </si>
  <si>
    <t>Lida bem com incertezas e ambiguidades, assumindo riscos na tomada de decisão.</t>
  </si>
  <si>
    <t>Tem facilidade para explicar ideias complexas de forma simples.</t>
  </si>
  <si>
    <t>Tem facilidade para lidar com situações politicamente complexas.</t>
  </si>
  <si>
    <t>Consegue resolver situações de conflito sem causar desgastes desnecessários.</t>
  </si>
  <si>
    <t>Adapta comunicação e estilo às diferentes pessoas e situações.</t>
  </si>
  <si>
    <t>É curioso, crítico e questionador.</t>
  </si>
  <si>
    <t>Provoca e lidera mudanças e consegue colocar novas ideias em prática.</t>
  </si>
  <si>
    <t>Lida bem com resistências e encontra aliados para seguir em frente com suas iniciativas.</t>
  </si>
  <si>
    <t>Energiza-se diante de desafios complexos e obtém resultados sob condições difíceis.</t>
  </si>
  <si>
    <t>Lida bem com crises e escassez de recursos.</t>
  </si>
  <si>
    <t>Constrói times de alta performance e estabelece altos padrões de excelência.</t>
  </si>
  <si>
    <t>Solicita feedback e compreende suas fortalezas e necessidades de desenvolvimento.</t>
  </si>
  <si>
    <t>Aprende com seus erros e acertos e ajusta seu comportamento.</t>
  </si>
  <si>
    <t>É empático e sensível ao impacto que causa nos outros.</t>
  </si>
  <si>
    <t>Bom ou Frequente</t>
  </si>
  <si>
    <t>De 1,9 a 2,49</t>
  </si>
  <si>
    <t>De 2,5 a 3,00</t>
  </si>
  <si>
    <t>De 1,0 a 1,89</t>
  </si>
  <si>
    <t>Sem evolução / Não tão bom ou não tão frequente</t>
  </si>
  <si>
    <t>Evolução de 1 passo / Bom ou frequente</t>
  </si>
  <si>
    <t>Evolução de 2 passos / Visivelmente melhor ou mais frequente</t>
  </si>
  <si>
    <t>Pontos de atenção</t>
  </si>
  <si>
    <t>Pontuação:</t>
  </si>
  <si>
    <t>Régua:</t>
  </si>
  <si>
    <t>Avaliação</t>
  </si>
  <si>
    <t>Ponto</t>
  </si>
  <si>
    <t>Observação</t>
  </si>
  <si>
    <t>Ponto médio entre 1 e 1,89</t>
  </si>
  <si>
    <t>Ponto médio entre 1,9 e 2,49</t>
  </si>
  <si>
    <t>Ponto médio entre 2,5 e 3</t>
  </si>
  <si>
    <t>De 1,00 a 1,89</t>
  </si>
  <si>
    <t>De 1,90 a 2,49</t>
  </si>
  <si>
    <t>De 2,50 a 3,00</t>
  </si>
  <si>
    <t>Busca novas oportunidades e demonstra coragem para apresentar idéias considerando os riscos envolvidos</t>
  </si>
  <si>
    <t>Da feedback sobre pontos fortes e pontos a melhorar e ajuda no desenvolvimento.</t>
  </si>
  <si>
    <t>Busca novas oportunidades e demonstra coragem para apresentar ideias, considerando os riscos envolvidos.</t>
  </si>
  <si>
    <t>Questiona os paradigmas da organização visando melhorias.</t>
  </si>
  <si>
    <t>Média (ptos comportamentos das crenças) &gt;= 280</t>
  </si>
  <si>
    <t>Média (ptos comportamentos das crenças) &lt; 280</t>
  </si>
  <si>
    <t>Nota Crenças</t>
  </si>
  <si>
    <t>A regra será:</t>
  </si>
  <si>
    <t>Nada será alterado</t>
  </si>
  <si>
    <t>Obs.: O resultado será colocado na mesma régua de Acima/Dentro/Abaixo do esperado utilizada para Metas e para Desempenho na função</t>
  </si>
  <si>
    <t xml:space="preserve">Estabelece planos de ação sustentáveis, que demonstram preocupação com o longo prazo da sua área (indo além das metas de curto prazo) </t>
  </si>
  <si>
    <t>Atua com uma perspectiva focada no cliente (externo e/ou interno).</t>
  </si>
  <si>
    <t>Impacta e/ou influencia nas mudanças e no alcance das metas da organização.</t>
  </si>
  <si>
    <t>Contribui para um clima de diálogo aberto e colaboração, e favorece um ambiente de alta performance.</t>
  </si>
  <si>
    <t>Avalia o  impacto de suas ações nas demais áreas/ negócios da empresa, identificando oportunidades e riscos.</t>
  </si>
  <si>
    <t>Crenças                                                                                                                                                                                                                          
Obs.: A consolidação da crença é automática, por isso avalie apenas os comportamentos.</t>
  </si>
  <si>
    <t>Aplica sistematicamente os processos de gestão definidos pela unidade / empresa.</t>
  </si>
  <si>
    <t>Gerencia riscos e assegura compliance.</t>
  </si>
  <si>
    <t>E a média dos resultados será colocada na mesma régua utilizada para metas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</si>
</sst>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0.000"/>
    <numFmt numFmtId="165" formatCode="_-* #,##0.000_-;\-* #,##0.000_-;_-* &quot;-&quot;??_-;_-@_-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7"/>
      <color theme="1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4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8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1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 indent="10"/>
    </xf>
    <xf numFmtId="0" fontId="4" fillId="0" borderId="0" xfId="0" applyFont="1" applyFill="1" applyBorder="1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Fill="1" applyAlignment="1">
      <alignment wrapText="1"/>
    </xf>
    <xf numFmtId="0" fontId="1" fillId="0" borderId="0" xfId="0" applyFont="1" applyFill="1"/>
    <xf numFmtId="0" fontId="0" fillId="0" borderId="1" xfId="0" applyBorder="1"/>
    <xf numFmtId="0" fontId="5" fillId="5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" fillId="6" borderId="1" xfId="0" applyFont="1" applyFill="1" applyBorder="1" applyAlignment="1">
      <alignment horizontal="center" wrapText="1"/>
    </xf>
    <xf numFmtId="0" fontId="6" fillId="0" borderId="0" xfId="0" applyFont="1"/>
    <xf numFmtId="0" fontId="7" fillId="3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8" fillId="0" borderId="0" xfId="0" applyFont="1"/>
    <xf numFmtId="0" fontId="9" fillId="0" borderId="0" xfId="0" applyFont="1"/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/>
    <xf numFmtId="0" fontId="1" fillId="6" borderId="1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0" fillId="0" borderId="0" xfId="0" applyFill="1"/>
    <xf numFmtId="0" fontId="0" fillId="0" borderId="0" xfId="0" applyBorder="1"/>
    <xf numFmtId="0" fontId="0" fillId="0" borderId="0" xfId="0" applyAlignment="1">
      <alignment horizontal="center"/>
    </xf>
    <xf numFmtId="0" fontId="6" fillId="0" borderId="0" xfId="0" applyFont="1" applyFill="1"/>
    <xf numFmtId="0" fontId="5" fillId="5" borderId="5" xfId="0" applyFont="1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/>
    </xf>
    <xf numFmtId="0" fontId="0" fillId="0" borderId="5" xfId="0" applyFill="1" applyBorder="1" applyAlignment="1">
      <alignment horizontal="left" vertical="center"/>
    </xf>
    <xf numFmtId="0" fontId="0" fillId="0" borderId="5" xfId="0" applyFill="1" applyBorder="1" applyAlignment="1">
      <alignment horizontal="left" vertical="center" wrapText="1"/>
    </xf>
    <xf numFmtId="0" fontId="0" fillId="0" borderId="5" xfId="0" applyBorder="1"/>
    <xf numFmtId="0" fontId="0" fillId="9" borderId="5" xfId="0" applyFill="1" applyBorder="1" applyAlignment="1">
      <alignment horizontal="center" vertical="center"/>
    </xf>
    <xf numFmtId="0" fontId="0" fillId="9" borderId="5" xfId="0" applyFill="1" applyBorder="1" applyAlignment="1">
      <alignment horizontal="left" vertical="center"/>
    </xf>
    <xf numFmtId="0" fontId="0" fillId="9" borderId="5" xfId="0" applyFill="1" applyBorder="1" applyAlignment="1">
      <alignment horizontal="left" vertical="center" wrapText="1"/>
    </xf>
    <xf numFmtId="0" fontId="0" fillId="9" borderId="5" xfId="0" applyFill="1" applyBorder="1"/>
    <xf numFmtId="0" fontId="0" fillId="0" borderId="0" xfId="0" applyBorder="1" applyAlignment="1">
      <alignment horizontal="left" vertical="center" wrapText="1"/>
    </xf>
    <xf numFmtId="0" fontId="5" fillId="5" borderId="6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5" fillId="5" borderId="8" xfId="0" applyFont="1" applyFill="1" applyBorder="1" applyAlignment="1">
      <alignment horizontal="center" vertical="center" wrapText="1"/>
    </xf>
    <xf numFmtId="0" fontId="0" fillId="0" borderId="9" xfId="0" applyBorder="1"/>
    <xf numFmtId="0" fontId="1" fillId="6" borderId="1" xfId="0" applyFont="1" applyFill="1" applyBorder="1" applyAlignment="1">
      <alignment wrapText="1"/>
    </xf>
    <xf numFmtId="0" fontId="1" fillId="6" borderId="2" xfId="0" applyFont="1" applyFill="1" applyBorder="1" applyAlignment="1">
      <alignment vertical="center" wrapText="1"/>
    </xf>
    <xf numFmtId="0" fontId="1" fillId="6" borderId="2" xfId="0" applyFont="1" applyFill="1" applyBorder="1" applyAlignment="1">
      <alignment wrapText="1"/>
    </xf>
    <xf numFmtId="0" fontId="1" fillId="6" borderId="3" xfId="0" applyFont="1" applyFill="1" applyBorder="1" applyAlignment="1">
      <alignment wrapText="1"/>
    </xf>
    <xf numFmtId="0" fontId="1" fillId="6" borderId="4" xfId="0" applyFont="1" applyFill="1" applyBorder="1" applyAlignment="1">
      <alignment wrapText="1"/>
    </xf>
    <xf numFmtId="0" fontId="9" fillId="0" borderId="0" xfId="0" applyFont="1" applyFill="1"/>
    <xf numFmtId="0" fontId="11" fillId="10" borderId="1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vertical="center" wrapText="1"/>
    </xf>
    <xf numFmtId="0" fontId="0" fillId="0" borderId="0" xfId="0" applyFont="1" applyFill="1"/>
    <xf numFmtId="0" fontId="8" fillId="0" borderId="0" xfId="0" applyFont="1" applyFill="1"/>
    <xf numFmtId="2" fontId="11" fillId="10" borderId="1" xfId="1" applyNumberFormat="1" applyFont="1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/>
    </xf>
    <xf numFmtId="2" fontId="1" fillId="6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5" xfId="0" applyFill="1" applyBorder="1"/>
    <xf numFmtId="0" fontId="0" fillId="10" borderId="1" xfId="0" applyFill="1" applyBorder="1" applyAlignment="1">
      <alignment horizontal="center"/>
    </xf>
    <xf numFmtId="0" fontId="8" fillId="0" borderId="2" xfId="0" applyFont="1" applyFill="1" applyBorder="1" applyAlignment="1">
      <alignment wrapText="1"/>
    </xf>
    <xf numFmtId="0" fontId="4" fillId="0" borderId="2" xfId="0" applyFont="1" applyFill="1" applyBorder="1" applyAlignment="1">
      <alignment wrapText="1"/>
    </xf>
    <xf numFmtId="0" fontId="5" fillId="5" borderId="1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Fill="1" applyBorder="1"/>
    <xf numFmtId="0" fontId="0" fillId="0" borderId="1" xfId="0" applyBorder="1" applyAlignment="1">
      <alignment horizontal="center"/>
    </xf>
    <xf numFmtId="0" fontId="8" fillId="0" borderId="1" xfId="0" applyFont="1" applyFill="1" applyBorder="1" applyAlignment="1">
      <alignment wrapText="1"/>
    </xf>
    <xf numFmtId="0" fontId="8" fillId="0" borderId="1" xfId="0" applyFont="1" applyFill="1" applyBorder="1"/>
    <xf numFmtId="0" fontId="0" fillId="0" borderId="0" xfId="0" applyFont="1"/>
    <xf numFmtId="164" fontId="0" fillId="0" borderId="0" xfId="0" applyNumberFormat="1" applyFont="1"/>
    <xf numFmtId="0" fontId="13" fillId="11" borderId="1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0" xfId="0" applyNumberFormat="1" applyFont="1"/>
    <xf numFmtId="0" fontId="12" fillId="0" borderId="0" xfId="0" applyFont="1"/>
    <xf numFmtId="0" fontId="0" fillId="0" borderId="0" xfId="0" applyBorder="1" applyAlignment="1">
      <alignment horizontal="left" vertical="center" wrapText="1"/>
    </xf>
    <xf numFmtId="0" fontId="1" fillId="6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0" xfId="0" applyFont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14" fillId="0" borderId="0" xfId="0" applyFont="1" applyFill="1"/>
    <xf numFmtId="0" fontId="6" fillId="0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horizontal="center" wrapText="1"/>
    </xf>
    <xf numFmtId="0" fontId="6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 wrapText="1"/>
    </xf>
    <xf numFmtId="1" fontId="6" fillId="0" borderId="0" xfId="0" applyNumberFormat="1" applyFont="1"/>
    <xf numFmtId="165" fontId="6" fillId="0" borderId="0" xfId="1" applyNumberFormat="1" applyFont="1"/>
    <xf numFmtId="43" fontId="6" fillId="0" borderId="0" xfId="0" applyNumberFormat="1" applyFont="1" applyAlignment="1"/>
    <xf numFmtId="9" fontId="6" fillId="0" borderId="0" xfId="2" applyFont="1"/>
    <xf numFmtId="43" fontId="6" fillId="0" borderId="0" xfId="0" applyNumberFormat="1" applyFont="1"/>
    <xf numFmtId="2" fontId="6" fillId="0" borderId="0" xfId="0" applyNumberFormat="1" applyFont="1" applyFill="1"/>
    <xf numFmtId="2" fontId="6" fillId="0" borderId="0" xfId="0" applyNumberFormat="1" applyFont="1"/>
    <xf numFmtId="43" fontId="6" fillId="0" borderId="0" xfId="1" applyFont="1"/>
    <xf numFmtId="164" fontId="6" fillId="0" borderId="0" xfId="0" applyNumberFormat="1" applyFont="1"/>
    <xf numFmtId="0" fontId="8" fillId="0" borderId="1" xfId="0" applyFont="1" applyBorder="1" applyAlignment="1">
      <alignment horizontal="center"/>
    </xf>
    <xf numFmtId="0" fontId="0" fillId="0" borderId="9" xfId="0" applyFill="1" applyBorder="1"/>
    <xf numFmtId="0" fontId="0" fillId="0" borderId="0" xfId="0" applyAlignment="1">
      <alignment horizontal="left"/>
    </xf>
    <xf numFmtId="0" fontId="5" fillId="5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1" fillId="6" borderId="1" xfId="0" applyFont="1" applyFill="1" applyBorder="1" applyAlignment="1">
      <alignment horizontal="center" wrapText="1"/>
    </xf>
    <xf numFmtId="0" fontId="1" fillId="6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0" fontId="8" fillId="0" borderId="4" xfId="0" applyFont="1" applyBorder="1" applyAlignment="1">
      <alignment horizontal="center" wrapText="1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5" fillId="5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5" borderId="2" xfId="0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</cellXfs>
  <cellStyles count="3">
    <cellStyle name="Normal" xfId="0" builtinId="0"/>
    <cellStyle name="Porcentagem" xfId="2" builtinId="5"/>
    <cellStyle name="Vírgula" xfId="1" builtinId="3"/>
  </cellStyles>
  <dxfs count="5"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</dxfs>
  <tableStyles count="0" defaultTableStyle="TableStyleMedium2" defaultPivotStyle="PivotStyleLight16"/>
  <colors>
    <mruColors>
      <color rgb="FFFFFFCC"/>
      <color rgb="FFFFFFFF"/>
      <color rgb="FFFF6600"/>
      <color rgb="FFFFFF66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$H$17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checked="Checked" firstButton="1" fmlaLink="$H$15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checked="Checked" firstButton="1" fmlaLink="$H$39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Radio" checked="Checked" firstButton="1" fmlaLink="$H$36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checked="Checked" firstButton="1" fmlaLink="$H$42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Radio" checked="Checked" firstButton="1" fmlaLink="$H$41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Radio" checked="Checked" firstButton="1" fmlaLink="$H$14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Radio" checked="Checked" firstButton="1" fmlaLink="$H$13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Radio" checked="Checked" firstButton="1" fmlaLink="$H$12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Radio" checked="Checked" firstButton="1" fmlaLink="$H$35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GBox" noThreeD="1"/>
</file>

<file path=xl/ctrlProps/ctrlProp62.xml><?xml version="1.0" encoding="utf-8"?>
<formControlPr xmlns="http://schemas.microsoft.com/office/spreadsheetml/2009/9/main" objectType="Radio" checked="Checked" firstButton="1" fmlaLink="$H$38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Radio" checked="Checked" firstButton="1" fmlaLink="$H$44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GBox" noThreeD="1"/>
</file>

<file path=xl/ctrlProps/ctrlProp74.xml><?xml version="1.0" encoding="utf-8"?>
<formControlPr xmlns="http://schemas.microsoft.com/office/spreadsheetml/2009/9/main" objectType="Radio" checked="Checked" firstButton="1" fmlaLink="$H$18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GBox" noThreeD="1"/>
</file>

<file path=xl/ctrlProps/ctrlProp80.xml><?xml version="1.0" encoding="utf-8"?>
<formControlPr xmlns="http://schemas.microsoft.com/office/spreadsheetml/2009/9/main" objectType="Radio" checked="Checked" firstButton="1" fmlaLink="$H$34" lockText="1" noThreeD="1"/>
</file>

<file path=xl/ctrlProps/ctrlProp81.xml><?xml version="1.0" encoding="utf-8"?>
<formControlPr xmlns="http://schemas.microsoft.com/office/spreadsheetml/2009/9/main" objectType="Radio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GBox" noThreeD="1"/>
</file>

<file path=xl/ctrlProps/ctrlProp86.xml><?xml version="1.0" encoding="utf-8"?>
<formControlPr xmlns="http://schemas.microsoft.com/office/spreadsheetml/2009/9/main" objectType="Radio" checked="Checked" firstButton="1" fmlaLink="$H$37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GBox" noThreeD="1"/>
</file>

<file path=xl/ctrlProps/ctrlProp92.xml><?xml version="1.0" encoding="utf-8"?>
<formControlPr xmlns="http://schemas.microsoft.com/office/spreadsheetml/2009/9/main" objectType="GBox" noThreeD="1"/>
</file>

<file path=xl/ctrlProps/ctrlProp93.xml><?xml version="1.0" encoding="utf-8"?>
<formControlPr xmlns="http://schemas.microsoft.com/office/spreadsheetml/2009/9/main" objectType="Radio" checked="Checked" firstButton="1" fmlaLink="$H$40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Radio" checked="Checked" firstButton="1" fmlaLink="$H$43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GBox" noThreeD="1"/>
</file>

<file path=xl/ctrlProps/ctrlProp105.xml><?xml version="1.0" encoding="utf-8"?>
<formControlPr xmlns="http://schemas.microsoft.com/office/spreadsheetml/2009/9/main" objectType="GBox" noThreeD="1"/>
</file>

<file path=xl/ctrlProps/ctrlProp106.xml><?xml version="1.0" encoding="utf-8"?>
<formControlPr xmlns="http://schemas.microsoft.com/office/spreadsheetml/2009/9/main" objectType="Radio" checked="Checked" firstButton="1" fmlaLink="$H$45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Radio" lockText="1" noThreeD="1"/>
</file>

<file path=xl/ctrlProps/ctrlProp110.xml><?xml version="1.0" encoding="utf-8"?>
<formControlPr xmlns="http://schemas.microsoft.com/office/spreadsheetml/2009/9/main" objectType="Radio" lockText="1" noThreeD="1"/>
</file>

<file path=xl/ctrlProps/ctrlProp111.xml><?xml version="1.0" encoding="utf-8"?>
<formControlPr xmlns="http://schemas.microsoft.com/office/spreadsheetml/2009/9/main" objectType="GBox" noThreeD="1"/>
</file>

<file path=xl/ctrlProps/ctrlProp112.xml><?xml version="1.0" encoding="utf-8"?>
<formControlPr xmlns="http://schemas.microsoft.com/office/spreadsheetml/2009/9/main" objectType="Radio" checked="Checked" firstButton="1" fmlaLink="$H$11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GBox" noThreeD="1"/>
</file>

<file path=xl/ctrlProps/ctrlProp118.xml><?xml version="1.0" encoding="utf-8"?>
<formControlPr xmlns="http://schemas.microsoft.com/office/spreadsheetml/2009/9/main" objectType="Radio" checked="Checked" firstButton="1" fmlaLink="$H$16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Radio" lockText="1" noThreeD="1"/>
</file>

<file path=xl/ctrlProps/ctrlProp121.xml><?xml version="1.0" encoding="utf-8"?>
<formControlPr xmlns="http://schemas.microsoft.com/office/spreadsheetml/2009/9/main" objectType="Radio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GBox" noThreeD="1"/>
</file>

<file path=xl/ctrlProps/ctrlProp124.xml><?xml version="1.0" encoding="utf-8"?>
<formControlPr xmlns="http://schemas.microsoft.com/office/spreadsheetml/2009/9/main" objectType="Radio" checked="Checked" firstButton="1" fmlaLink="$H$25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GBox" noThreeD="1"/>
</file>

<file path=xl/ctrlProps/ctrlProp130.xml><?xml version="1.0" encoding="utf-8"?>
<formControlPr xmlns="http://schemas.microsoft.com/office/spreadsheetml/2009/9/main" objectType="Radio" checked="Checked" firstButton="1" fmlaLink="$H$26" lockText="1" noThreeD="1"/>
</file>

<file path=xl/ctrlProps/ctrlProp131.xml><?xml version="1.0" encoding="utf-8"?>
<formControlPr xmlns="http://schemas.microsoft.com/office/spreadsheetml/2009/9/main" objectType="Radio" lockText="1" noThreeD="1"/>
</file>

<file path=xl/ctrlProps/ctrlProp132.xml><?xml version="1.0" encoding="utf-8"?>
<formControlPr xmlns="http://schemas.microsoft.com/office/spreadsheetml/2009/9/main" objectType="Radio" lockText="1" noThreeD="1"/>
</file>

<file path=xl/ctrlProps/ctrlProp133.xml><?xml version="1.0" encoding="utf-8"?>
<formControlPr xmlns="http://schemas.microsoft.com/office/spreadsheetml/2009/9/main" objectType="Radio" lockText="1" noThreeD="1"/>
</file>

<file path=xl/ctrlProps/ctrlProp134.xml><?xml version="1.0" encoding="utf-8"?>
<formControlPr xmlns="http://schemas.microsoft.com/office/spreadsheetml/2009/9/main" objectType="Radio" lockText="1" noThreeD="1"/>
</file>

<file path=xl/ctrlProps/ctrlProp135.xml><?xml version="1.0" encoding="utf-8"?>
<formControlPr xmlns="http://schemas.microsoft.com/office/spreadsheetml/2009/9/main" objectType="GBox" noThreeD="1"/>
</file>

<file path=xl/ctrlProps/ctrlProp136.xml><?xml version="1.0" encoding="utf-8"?>
<formControlPr xmlns="http://schemas.microsoft.com/office/spreadsheetml/2009/9/main" objectType="Radio" checked="Checked" firstButton="1" fmlaLink="$H$27" lockText="1" noThreeD="1"/>
</file>

<file path=xl/ctrlProps/ctrlProp137.xml><?xml version="1.0" encoding="utf-8"?>
<formControlPr xmlns="http://schemas.microsoft.com/office/spreadsheetml/2009/9/main" objectType="Radio" lockText="1" noThreeD="1"/>
</file>

<file path=xl/ctrlProps/ctrlProp138.xml><?xml version="1.0" encoding="utf-8"?>
<formControlPr xmlns="http://schemas.microsoft.com/office/spreadsheetml/2009/9/main" objectType="Radio" lockText="1" noThreeD="1"/>
</file>

<file path=xl/ctrlProps/ctrlProp139.xml><?xml version="1.0" encoding="utf-8"?>
<formControlPr xmlns="http://schemas.microsoft.com/office/spreadsheetml/2009/9/main" objectType="Radio" lockText="1" noThreeD="1"/>
</file>

<file path=xl/ctrlProps/ctrlProp140.xml><?xml version="1.0" encoding="utf-8"?>
<formControlPr xmlns="http://schemas.microsoft.com/office/spreadsheetml/2009/9/main" objectType="Radio" lockText="1" noThreeD="1"/>
</file>

<file path=xl/ctrlProps/ctrlProp141.xml><?xml version="1.0" encoding="utf-8"?>
<formControlPr xmlns="http://schemas.microsoft.com/office/spreadsheetml/2009/9/main" objectType="GBox" noThreeD="1"/>
</file>

<file path=xl/ctrlProps/ctrlProp142.xml><?xml version="1.0" encoding="utf-8"?>
<formControlPr xmlns="http://schemas.microsoft.com/office/spreadsheetml/2009/9/main" objectType="Radio" checked="Checked" firstButton="1" fmlaLink="$H$28" lockText="1" noThreeD="1"/>
</file>

<file path=xl/ctrlProps/ctrlProp143.xml><?xml version="1.0" encoding="utf-8"?>
<formControlPr xmlns="http://schemas.microsoft.com/office/spreadsheetml/2009/9/main" objectType="Radio" lockText="1" noThreeD="1"/>
</file>

<file path=xl/ctrlProps/ctrlProp144.xml><?xml version="1.0" encoding="utf-8"?>
<formControlPr xmlns="http://schemas.microsoft.com/office/spreadsheetml/2009/9/main" objectType="Radio" lockText="1" noThreeD="1"/>
</file>

<file path=xl/ctrlProps/ctrlProp145.xml><?xml version="1.0" encoding="utf-8"?>
<formControlPr xmlns="http://schemas.microsoft.com/office/spreadsheetml/2009/9/main" objectType="Radio" lockText="1" noThreeD="1"/>
</file>

<file path=xl/ctrlProps/ctrlProp146.xml><?xml version="1.0" encoding="utf-8"?>
<formControlPr xmlns="http://schemas.microsoft.com/office/spreadsheetml/2009/9/main" objectType="Radio" lockText="1" noThreeD="1"/>
</file>

<file path=xl/ctrlProps/ctrlProp147.xml><?xml version="1.0" encoding="utf-8"?>
<formControlPr xmlns="http://schemas.microsoft.com/office/spreadsheetml/2009/9/main" objectType="GBox" noThreeD="1"/>
</file>

<file path=xl/ctrlProps/ctrlProp148.xml><?xml version="1.0" encoding="utf-8"?>
<formControlPr xmlns="http://schemas.microsoft.com/office/spreadsheetml/2009/9/main" objectType="Radio" checked="Checked" firstButton="1" fmlaLink="$H$29" lockText="1" noThreeD="1"/>
</file>

<file path=xl/ctrlProps/ctrlProp149.xml><?xml version="1.0" encoding="utf-8"?>
<formControlPr xmlns="http://schemas.microsoft.com/office/spreadsheetml/2009/9/main" objectType="Radio" lockText="1" noThreeD="1"/>
</file>

<file path=xl/ctrlProps/ctrlProp150.xml><?xml version="1.0" encoding="utf-8"?>
<formControlPr xmlns="http://schemas.microsoft.com/office/spreadsheetml/2009/9/main" objectType="Radio" lockText="1" noThreeD="1"/>
</file>

<file path=xl/ctrlProps/ctrlProp151.xml><?xml version="1.0" encoding="utf-8"?>
<formControlPr xmlns="http://schemas.microsoft.com/office/spreadsheetml/2009/9/main" objectType="Radio" lockText="1" noThreeD="1"/>
</file>

<file path=xl/ctrlProps/ctrlProp152.xml><?xml version="1.0" encoding="utf-8"?>
<formControlPr xmlns="http://schemas.microsoft.com/office/spreadsheetml/2009/9/main" objectType="Radio" lockText="1" noThreeD="1"/>
</file>

<file path=xl/ctrlProps/ctrlProp153.xml><?xml version="1.0" encoding="utf-8"?>
<formControlPr xmlns="http://schemas.microsoft.com/office/spreadsheetml/2009/9/main" objectType="GBox" noThreeD="1"/>
</file>

<file path=xl/ctrlProps/ctrlProp154.xml><?xml version="1.0" encoding="utf-8"?>
<formControlPr xmlns="http://schemas.microsoft.com/office/spreadsheetml/2009/9/main" objectType="Radio" checked="Checked" firstButton="1" fmlaLink="$H$30" lockText="1" noThreeD="1"/>
</file>

<file path=xl/ctrlProps/ctrlProp155.xml><?xml version="1.0" encoding="utf-8"?>
<formControlPr xmlns="http://schemas.microsoft.com/office/spreadsheetml/2009/9/main" objectType="Radio" lockText="1" noThreeD="1"/>
</file>

<file path=xl/ctrlProps/ctrlProp156.xml><?xml version="1.0" encoding="utf-8"?>
<formControlPr xmlns="http://schemas.microsoft.com/office/spreadsheetml/2009/9/main" objectType="Radio" lockText="1" noThreeD="1"/>
</file>

<file path=xl/ctrlProps/ctrlProp157.xml><?xml version="1.0" encoding="utf-8"?>
<formControlPr xmlns="http://schemas.microsoft.com/office/spreadsheetml/2009/9/main" objectType="Radio" lockText="1" noThreeD="1"/>
</file>

<file path=xl/ctrlProps/ctrlProp158.xml><?xml version="1.0" encoding="utf-8"?>
<formControlPr xmlns="http://schemas.microsoft.com/office/spreadsheetml/2009/9/main" objectType="Radio" lockText="1" noThreeD="1"/>
</file>

<file path=xl/ctrlProps/ctrlProp159.xml><?xml version="1.0" encoding="utf-8"?>
<formControlPr xmlns="http://schemas.microsoft.com/office/spreadsheetml/2009/9/main" objectType="GBox" noThreeD="1"/>
</file>

<file path=xl/ctrlProps/ctrlProp160.xml><?xml version="1.0" encoding="utf-8"?>
<formControlPr xmlns="http://schemas.microsoft.com/office/spreadsheetml/2009/9/main" objectType="Radio" checked="Checked" firstButton="1" fmlaLink="$H$31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GBox" noThreeD="1"/>
</file>

<file path=xl/ctrlProps/ctrlProp166.xml><?xml version="1.0" encoding="utf-8"?>
<formControlPr xmlns="http://schemas.microsoft.com/office/spreadsheetml/2009/9/main" objectType="Radio" checked="Checked" firstButton="1" fmlaLink="$H$32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GBox" noThreeD="1"/>
</file>

<file path=xl/ctrlProps/ctrlProp172.xml><?xml version="1.0" encoding="utf-8"?>
<formControlPr xmlns="http://schemas.microsoft.com/office/spreadsheetml/2009/9/main" objectType="Radio" checked="Checked" firstButton="1" fmlaLink="$H$33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Radio" lockText="1" noThreeD="1"/>
</file>

<file path=xl/ctrlProps/ctrlProp176.xml><?xml version="1.0" encoding="utf-8"?>
<formControlPr xmlns="http://schemas.microsoft.com/office/spreadsheetml/2009/9/main" objectType="Radio" lockText="1" noThreeD="1"/>
</file>

<file path=xl/ctrlProps/ctrlProp177.xml><?xml version="1.0" encoding="utf-8"?>
<formControlPr xmlns="http://schemas.microsoft.com/office/spreadsheetml/2009/9/main" objectType="GBox" noThreeD="1"/>
</file>

<file path=xl/ctrlProps/ctrlProp178.xml><?xml version="1.0" encoding="utf-8"?>
<formControlPr xmlns="http://schemas.microsoft.com/office/spreadsheetml/2009/9/main" objectType="Radio" checked="Checked" firstButton="1" fmlaLink="$H$21" lockText="1" noThreeD="1"/>
</file>

<file path=xl/ctrlProps/ctrlProp179.xml><?xml version="1.0" encoding="utf-8"?>
<formControlPr xmlns="http://schemas.microsoft.com/office/spreadsheetml/2009/9/main" objectType="Radio" lockText="1" noThreeD="1"/>
</file>

<file path=xl/ctrlProps/ctrlProp180.xml><?xml version="1.0" encoding="utf-8"?>
<formControlPr xmlns="http://schemas.microsoft.com/office/spreadsheetml/2009/9/main" objectType="Radio" lockText="1" noThreeD="1"/>
</file>

<file path=xl/ctrlProps/ctrlProp181.xml><?xml version="1.0" encoding="utf-8"?>
<formControlPr xmlns="http://schemas.microsoft.com/office/spreadsheetml/2009/9/main" objectType="Radio" lockText="1" noThreeD="1"/>
</file>

<file path=xl/ctrlProps/ctrlProp182.xml><?xml version="1.0" encoding="utf-8"?>
<formControlPr xmlns="http://schemas.microsoft.com/office/spreadsheetml/2009/9/main" objectType="Radio" lockText="1" noThreeD="1"/>
</file>

<file path=xl/ctrlProps/ctrlProp183.xml><?xml version="1.0" encoding="utf-8"?>
<formControlPr xmlns="http://schemas.microsoft.com/office/spreadsheetml/2009/9/main" objectType="GBox" noThreeD="1"/>
</file>

<file path=xl/ctrlProps/ctrlProp184.xml><?xml version="1.0" encoding="utf-8"?>
<formControlPr xmlns="http://schemas.microsoft.com/office/spreadsheetml/2009/9/main" objectType="Radio" checked="Checked" firstButton="1" fmlaLink="$H$20" lockText="1" noThreeD="1"/>
</file>

<file path=xl/ctrlProps/ctrlProp185.xml><?xml version="1.0" encoding="utf-8"?>
<formControlPr xmlns="http://schemas.microsoft.com/office/spreadsheetml/2009/9/main" objectType="Radio" lockText="1" noThreeD="1"/>
</file>

<file path=xl/ctrlProps/ctrlProp186.xml><?xml version="1.0" encoding="utf-8"?>
<formControlPr xmlns="http://schemas.microsoft.com/office/spreadsheetml/2009/9/main" objectType="Radio" lockText="1" noThreeD="1"/>
</file>

<file path=xl/ctrlProps/ctrlProp187.xml><?xml version="1.0" encoding="utf-8"?>
<formControlPr xmlns="http://schemas.microsoft.com/office/spreadsheetml/2009/9/main" objectType="Radio" lockText="1" noThreeD="1"/>
</file>

<file path=xl/ctrlProps/ctrlProp188.xml><?xml version="1.0" encoding="utf-8"?>
<formControlPr xmlns="http://schemas.microsoft.com/office/spreadsheetml/2009/9/main" objectType="Radio" lockText="1" noThreeD="1"/>
</file>

<file path=xl/ctrlProps/ctrlProp189.xml><?xml version="1.0" encoding="utf-8"?>
<formControlPr xmlns="http://schemas.microsoft.com/office/spreadsheetml/2009/9/main" objectType="GBox" noThreeD="1"/>
</file>

<file path=xl/ctrlProps/ctrlProp190.xml><?xml version="1.0" encoding="utf-8"?>
<formControlPr xmlns="http://schemas.microsoft.com/office/spreadsheetml/2009/9/main" objectType="Radio" checked="Checked" firstButton="1" fmlaLink="$H$19" lockText="1" noThreeD="1"/>
</file>

<file path=xl/ctrlProps/ctrlProp191.xml><?xml version="1.0" encoding="utf-8"?>
<formControlPr xmlns="http://schemas.microsoft.com/office/spreadsheetml/2009/9/main" objectType="Radio" lockText="1" noThreeD="1"/>
</file>

<file path=xl/ctrlProps/ctrlProp192.xml><?xml version="1.0" encoding="utf-8"?>
<formControlPr xmlns="http://schemas.microsoft.com/office/spreadsheetml/2009/9/main" objectType="Radio" lockText="1" noThreeD="1"/>
</file>

<file path=xl/ctrlProps/ctrlProp193.xml><?xml version="1.0" encoding="utf-8"?>
<formControlPr xmlns="http://schemas.microsoft.com/office/spreadsheetml/2009/9/main" objectType="Radio" lockText="1" noThreeD="1"/>
</file>

<file path=xl/ctrlProps/ctrlProp194.xml><?xml version="1.0" encoding="utf-8"?>
<formControlPr xmlns="http://schemas.microsoft.com/office/spreadsheetml/2009/9/main" objectType="Radio" lockText="1" noThreeD="1"/>
</file>

<file path=xl/ctrlProps/ctrlProp195.xml><?xml version="1.0" encoding="utf-8"?>
<formControlPr xmlns="http://schemas.microsoft.com/office/spreadsheetml/2009/9/main" objectType="GBox" noThreeD="1"/>
</file>

<file path=xl/ctrlProps/ctrlProp196.xml><?xml version="1.0" encoding="utf-8"?>
<formControlPr xmlns="http://schemas.microsoft.com/office/spreadsheetml/2009/9/main" objectType="Radio" checked="Checked" firstButton="1" fmlaLink="$H$8" lockText="1" noThreeD="1"/>
</file>

<file path=xl/ctrlProps/ctrlProp197.xml><?xml version="1.0" encoding="utf-8"?>
<formControlPr xmlns="http://schemas.microsoft.com/office/spreadsheetml/2009/9/main" objectType="Radio" lockText="1" noThreeD="1"/>
</file>

<file path=xl/ctrlProps/ctrlProp198.xml><?xml version="1.0" encoding="utf-8"?>
<formControlPr xmlns="http://schemas.microsoft.com/office/spreadsheetml/2009/9/main" objectType="Radio" lockText="1" noThreeD="1"/>
</file>

<file path=xl/ctrlProps/ctrlProp199.xml><?xml version="1.0" encoding="utf-8"?>
<formControlPr xmlns="http://schemas.microsoft.com/office/spreadsheetml/2009/9/main" objectType="GBox" noThreeD="1"/>
</file>

<file path=xl/ctrlProps/ctrlProp200.xml><?xml version="1.0" encoding="utf-8"?>
<formControlPr xmlns="http://schemas.microsoft.com/office/spreadsheetml/2009/9/main" objectType="Radio" checked="Checked" firstButton="1" fmlaLink="$H$9" lockText="1" noThreeD="1"/>
</file>

<file path=xl/ctrlProps/ctrlProp201.xml><?xml version="1.0" encoding="utf-8"?>
<formControlPr xmlns="http://schemas.microsoft.com/office/spreadsheetml/2009/9/main" objectType="Radio" lockText="1" noThreeD="1"/>
</file>

<file path=xl/ctrlProps/ctrlProp202.xml><?xml version="1.0" encoding="utf-8"?>
<formControlPr xmlns="http://schemas.microsoft.com/office/spreadsheetml/2009/9/main" objectType="Radio" lockText="1" noThreeD="1"/>
</file>

<file path=xl/ctrlProps/ctrlProp203.xml><?xml version="1.0" encoding="utf-8"?>
<formControlPr xmlns="http://schemas.microsoft.com/office/spreadsheetml/2009/9/main" objectType="GBox" noThreeD="1"/>
</file>

<file path=xl/ctrlProps/ctrlProp204.xml><?xml version="1.0" encoding="utf-8"?>
<formControlPr xmlns="http://schemas.microsoft.com/office/spreadsheetml/2009/9/main" objectType="Radio" checked="Checked" firstButton="1" fmlaLink="$H$10" lockText="1" noThreeD="1"/>
</file>

<file path=xl/ctrlProps/ctrlProp205.xml><?xml version="1.0" encoding="utf-8"?>
<formControlPr xmlns="http://schemas.microsoft.com/office/spreadsheetml/2009/9/main" objectType="Radio" lockText="1" noThreeD="1"/>
</file>

<file path=xl/ctrlProps/ctrlProp206.xml><?xml version="1.0" encoding="utf-8"?>
<formControlPr xmlns="http://schemas.microsoft.com/office/spreadsheetml/2009/9/main" objectType="Radio" lockText="1" noThreeD="1"/>
</file>

<file path=xl/ctrlProps/ctrlProp207.xml><?xml version="1.0" encoding="utf-8"?>
<formControlPr xmlns="http://schemas.microsoft.com/office/spreadsheetml/2009/9/main" objectType="GBox" noThreeD="1"/>
</file>

<file path=xl/ctrlProps/ctrlProp208.xml><?xml version="1.0" encoding="utf-8"?>
<formControlPr xmlns="http://schemas.microsoft.com/office/spreadsheetml/2009/9/main" objectType="Radio" checked="Checked" firstButton="1" fmlaLink="$H$11" lockText="1" noThreeD="1"/>
</file>

<file path=xl/ctrlProps/ctrlProp209.xml><?xml version="1.0" encoding="utf-8"?>
<formControlPr xmlns="http://schemas.microsoft.com/office/spreadsheetml/2009/9/main" objectType="Radio" lockText="1" noThreeD="1"/>
</file>

<file path=xl/ctrlProps/ctrlProp210.xml><?xml version="1.0" encoding="utf-8"?>
<formControlPr xmlns="http://schemas.microsoft.com/office/spreadsheetml/2009/9/main" objectType="Radio" lockText="1" noThreeD="1"/>
</file>

<file path=xl/ctrlProps/ctrlProp211.xml><?xml version="1.0" encoding="utf-8"?>
<formControlPr xmlns="http://schemas.microsoft.com/office/spreadsheetml/2009/9/main" objectType="GBox" noThreeD="1"/>
</file>

<file path=xl/ctrlProps/ctrlProp212.xml><?xml version="1.0" encoding="utf-8"?>
<formControlPr xmlns="http://schemas.microsoft.com/office/spreadsheetml/2009/9/main" objectType="Radio" checked="Checked" firstButton="1" fmlaLink="$H$12" lockText="1" noThreeD="1"/>
</file>

<file path=xl/ctrlProps/ctrlProp213.xml><?xml version="1.0" encoding="utf-8"?>
<formControlPr xmlns="http://schemas.microsoft.com/office/spreadsheetml/2009/9/main" objectType="Radio" lockText="1" noThreeD="1"/>
</file>

<file path=xl/ctrlProps/ctrlProp214.xml><?xml version="1.0" encoding="utf-8"?>
<formControlPr xmlns="http://schemas.microsoft.com/office/spreadsheetml/2009/9/main" objectType="Radio" lockText="1" noThreeD="1"/>
</file>

<file path=xl/ctrlProps/ctrlProp215.xml><?xml version="1.0" encoding="utf-8"?>
<formControlPr xmlns="http://schemas.microsoft.com/office/spreadsheetml/2009/9/main" objectType="GBox" noThreeD="1"/>
</file>

<file path=xl/ctrlProps/ctrlProp216.xml><?xml version="1.0" encoding="utf-8"?>
<formControlPr xmlns="http://schemas.microsoft.com/office/spreadsheetml/2009/9/main" objectType="Radio" checked="Checked" firstButton="1" fmlaLink="$H$16" lockText="1" noThreeD="1"/>
</file>

<file path=xl/ctrlProps/ctrlProp217.xml><?xml version="1.0" encoding="utf-8"?>
<formControlPr xmlns="http://schemas.microsoft.com/office/spreadsheetml/2009/9/main" objectType="Radio" lockText="1" noThreeD="1"/>
</file>

<file path=xl/ctrlProps/ctrlProp218.xml><?xml version="1.0" encoding="utf-8"?>
<formControlPr xmlns="http://schemas.microsoft.com/office/spreadsheetml/2009/9/main" objectType="Radio" lockText="1" noThreeD="1"/>
</file>

<file path=xl/ctrlProps/ctrlProp219.xml><?xml version="1.0" encoding="utf-8"?>
<formControlPr xmlns="http://schemas.microsoft.com/office/spreadsheetml/2009/9/main" objectType="GBox" noThreeD="1"/>
</file>

<file path=xl/ctrlProps/ctrlProp220.xml><?xml version="1.0" encoding="utf-8"?>
<formControlPr xmlns="http://schemas.microsoft.com/office/spreadsheetml/2009/9/main" objectType="Radio" checked="Checked" firstButton="1" fmlaLink="$H$17" lockText="1" noThreeD="1"/>
</file>

<file path=xl/ctrlProps/ctrlProp221.xml><?xml version="1.0" encoding="utf-8"?>
<formControlPr xmlns="http://schemas.microsoft.com/office/spreadsheetml/2009/9/main" objectType="Radio" lockText="1" noThreeD="1"/>
</file>

<file path=xl/ctrlProps/ctrlProp222.xml><?xml version="1.0" encoding="utf-8"?>
<formControlPr xmlns="http://schemas.microsoft.com/office/spreadsheetml/2009/9/main" objectType="Radio" lockText="1" noThreeD="1"/>
</file>

<file path=xl/ctrlProps/ctrlProp223.xml><?xml version="1.0" encoding="utf-8"?>
<formControlPr xmlns="http://schemas.microsoft.com/office/spreadsheetml/2009/9/main" objectType="GBox" noThreeD="1"/>
</file>

<file path=xl/ctrlProps/ctrlProp224.xml><?xml version="1.0" encoding="utf-8"?>
<formControlPr xmlns="http://schemas.microsoft.com/office/spreadsheetml/2009/9/main" objectType="Radio" checked="Checked" firstButton="1" fmlaLink="$H$18" lockText="1" noThreeD="1"/>
</file>

<file path=xl/ctrlProps/ctrlProp225.xml><?xml version="1.0" encoding="utf-8"?>
<formControlPr xmlns="http://schemas.microsoft.com/office/spreadsheetml/2009/9/main" objectType="Radio" lockText="1" noThreeD="1"/>
</file>

<file path=xl/ctrlProps/ctrlProp226.xml><?xml version="1.0" encoding="utf-8"?>
<formControlPr xmlns="http://schemas.microsoft.com/office/spreadsheetml/2009/9/main" objectType="Radio" lockText="1" noThreeD="1"/>
</file>

<file path=xl/ctrlProps/ctrlProp227.xml><?xml version="1.0" encoding="utf-8"?>
<formControlPr xmlns="http://schemas.microsoft.com/office/spreadsheetml/2009/9/main" objectType="GBox" noThreeD="1"/>
</file>

<file path=xl/ctrlProps/ctrlProp228.xml><?xml version="1.0" encoding="utf-8"?>
<formControlPr xmlns="http://schemas.microsoft.com/office/spreadsheetml/2009/9/main" objectType="Radio" checked="Checked" firstButton="1" fmlaLink="$H$5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GBox" noThreeD="1"/>
</file>

<file path=xl/ctrlProps/ctrlProp232.xml><?xml version="1.0" encoding="utf-8"?>
<formControlPr xmlns="http://schemas.microsoft.com/office/spreadsheetml/2009/9/main" objectType="Radio" checked="Checked" firstButton="1" fmlaLink="$H$19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GBox" noThreeD="1"/>
</file>

<file path=xl/ctrlProps/ctrlProp236.xml><?xml version="1.0" encoding="utf-8"?>
<formControlPr xmlns="http://schemas.microsoft.com/office/spreadsheetml/2009/9/main" objectType="Radio" checked="Checked" firstButton="1" fmlaLink="$H$13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GBox" noThreeD="1"/>
</file>

<file path=xl/ctrlProps/ctrlProp240.xml><?xml version="1.0" encoding="utf-8"?>
<formControlPr xmlns="http://schemas.microsoft.com/office/spreadsheetml/2009/9/main" objectType="Radio" checked="Checked" firstButton="1" fmlaLink="$H$14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GBox" noThreeD="1"/>
</file>

<file path=xl/ctrlProps/ctrlProp244.xml><?xml version="1.0" encoding="utf-8"?>
<formControlPr xmlns="http://schemas.microsoft.com/office/spreadsheetml/2009/9/main" objectType="Radio" checked="Checked" firstButton="1" fmlaLink="$H$15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GBox" noThreeD="1"/>
</file>

<file path=xl/ctrlProps/ctrlProp248.xml><?xml version="1.0" encoding="utf-8"?>
<formControlPr xmlns="http://schemas.microsoft.com/office/spreadsheetml/2009/9/main" objectType="Radio" checked="Checked" firstButton="1" fmlaLink="$H$6" lockText="1" noThreeD="1"/>
</file>

<file path=xl/ctrlProps/ctrlProp249.xml><?xml version="1.0" encoding="utf-8"?>
<formControlPr xmlns="http://schemas.microsoft.com/office/spreadsheetml/2009/9/main" objectType="Radio" lockText="1" noThreeD="1"/>
</file>

<file path=xl/ctrlProps/ctrlProp250.xml><?xml version="1.0" encoding="utf-8"?>
<formControlPr xmlns="http://schemas.microsoft.com/office/spreadsheetml/2009/9/main" objectType="Radio" lockText="1" noThreeD="1"/>
</file>

<file path=xl/ctrlProps/ctrlProp251.xml><?xml version="1.0" encoding="utf-8"?>
<formControlPr xmlns="http://schemas.microsoft.com/office/spreadsheetml/2009/9/main" objectType="GBox" noThreeD="1"/>
</file>

<file path=xl/ctrlProps/ctrlProp252.xml><?xml version="1.0" encoding="utf-8"?>
<formControlPr xmlns="http://schemas.microsoft.com/office/spreadsheetml/2009/9/main" objectType="Radio" checked="Checked" firstButton="1" fmlaLink="$H$7" lockText="1" noThreeD="1"/>
</file>

<file path=xl/ctrlProps/ctrlProp253.xml><?xml version="1.0" encoding="utf-8"?>
<formControlPr xmlns="http://schemas.microsoft.com/office/spreadsheetml/2009/9/main" objectType="Radio" lockText="1" noThreeD="1"/>
</file>

<file path=xl/ctrlProps/ctrlProp254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590550</xdr:colOff>
      <xdr:row>0</xdr:row>
      <xdr:rowOff>142875</xdr:rowOff>
    </xdr:from>
    <xdr:to>
      <xdr:col>13</xdr:col>
      <xdr:colOff>212085</xdr:colOff>
      <xdr:row>5</xdr:row>
      <xdr:rowOff>42725</xdr:rowOff>
    </xdr:to>
    <xdr:pic>
      <xdr:nvPicPr>
        <xdr:cNvPr id="2" name="Picture 2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5034"/>
        <a:stretch/>
      </xdr:blipFill>
      <xdr:spPr bwMode="auto">
        <a:xfrm>
          <a:off x="8915400" y="142875"/>
          <a:ext cx="1450335" cy="852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285750</xdr:colOff>
      <xdr:row>3</xdr:row>
      <xdr:rowOff>180975</xdr:rowOff>
    </xdr:from>
    <xdr:to>
      <xdr:col>8</xdr:col>
      <xdr:colOff>828675</xdr:colOff>
      <xdr:row>9</xdr:row>
      <xdr:rowOff>171450</xdr:rowOff>
    </xdr:to>
    <xdr:sp macro="" textlink="">
      <xdr:nvSpPr>
        <xdr:cNvPr id="3" name="Elipse 2"/>
        <xdr:cNvSpPr/>
      </xdr:nvSpPr>
      <xdr:spPr>
        <a:xfrm>
          <a:off x="6286500" y="752475"/>
          <a:ext cx="1257300" cy="1133475"/>
        </a:xfrm>
        <a:prstGeom prst="ellipse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47625</xdr:colOff>
      <xdr:row>5</xdr:row>
      <xdr:rowOff>161925</xdr:rowOff>
    </xdr:from>
    <xdr:ext cx="314638" cy="405432"/>
    <xdr:sp macro="" textlink="">
      <xdr:nvSpPr>
        <xdr:cNvPr id="4" name="CaixaDeTexto 3"/>
        <xdr:cNvSpPr txBox="1"/>
      </xdr:nvSpPr>
      <xdr:spPr>
        <a:xfrm>
          <a:off x="6762750" y="1114425"/>
          <a:ext cx="31463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/>
            <a:t>1</a:t>
          </a:r>
        </a:p>
      </xdr:txBody>
    </xdr:sp>
    <xdr:clientData/>
  </xdr:oneCellAnchor>
  <xdr:twoCellAnchor>
    <xdr:from>
      <xdr:col>7</xdr:col>
      <xdr:colOff>314325</xdr:colOff>
      <xdr:row>12</xdr:row>
      <xdr:rowOff>161925</xdr:rowOff>
    </xdr:from>
    <xdr:to>
      <xdr:col>8</xdr:col>
      <xdr:colOff>857250</xdr:colOff>
      <xdr:row>17</xdr:row>
      <xdr:rowOff>180975</xdr:rowOff>
    </xdr:to>
    <xdr:sp macro="" textlink="">
      <xdr:nvSpPr>
        <xdr:cNvPr id="5" name="Elipse 4"/>
        <xdr:cNvSpPr/>
      </xdr:nvSpPr>
      <xdr:spPr>
        <a:xfrm>
          <a:off x="6315075" y="2447925"/>
          <a:ext cx="1257300" cy="1133475"/>
        </a:xfrm>
        <a:prstGeom prst="ellipse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76200</xdr:colOff>
      <xdr:row>13</xdr:row>
      <xdr:rowOff>333375</xdr:rowOff>
    </xdr:from>
    <xdr:ext cx="314638" cy="405432"/>
    <xdr:sp macro="" textlink="">
      <xdr:nvSpPr>
        <xdr:cNvPr id="6" name="CaixaDeTexto 5"/>
        <xdr:cNvSpPr txBox="1"/>
      </xdr:nvSpPr>
      <xdr:spPr>
        <a:xfrm>
          <a:off x="6791325" y="2809875"/>
          <a:ext cx="31463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/>
            <a:t>2</a:t>
          </a:r>
        </a:p>
      </xdr:txBody>
    </xdr:sp>
    <xdr:clientData/>
  </xdr:oneCellAnchor>
  <xdr:twoCellAnchor>
    <xdr:from>
      <xdr:col>7</xdr:col>
      <xdr:colOff>342900</xdr:colOff>
      <xdr:row>21</xdr:row>
      <xdr:rowOff>19049</xdr:rowOff>
    </xdr:from>
    <xdr:to>
      <xdr:col>8</xdr:col>
      <xdr:colOff>885825</xdr:colOff>
      <xdr:row>26</xdr:row>
      <xdr:rowOff>19049</xdr:rowOff>
    </xdr:to>
    <xdr:sp macro="" textlink="">
      <xdr:nvSpPr>
        <xdr:cNvPr id="7" name="Elipse 6"/>
        <xdr:cNvSpPr/>
      </xdr:nvSpPr>
      <xdr:spPr>
        <a:xfrm>
          <a:off x="6219825" y="4305299"/>
          <a:ext cx="1257300" cy="1209675"/>
        </a:xfrm>
        <a:prstGeom prst="ellipse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104775</xdr:colOff>
      <xdr:row>23</xdr:row>
      <xdr:rowOff>9525</xdr:rowOff>
    </xdr:from>
    <xdr:ext cx="314638" cy="405432"/>
    <xdr:sp macro="" textlink="">
      <xdr:nvSpPr>
        <xdr:cNvPr id="8" name="CaixaDeTexto 7"/>
        <xdr:cNvSpPr txBox="1"/>
      </xdr:nvSpPr>
      <xdr:spPr>
        <a:xfrm>
          <a:off x="6696075" y="4676775"/>
          <a:ext cx="31463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/>
            <a:t>3</a:t>
          </a:r>
        </a:p>
      </xdr:txBody>
    </xdr:sp>
    <xdr:clientData/>
  </xdr:oneCellAnchor>
  <xdr:twoCellAnchor>
    <xdr:from>
      <xdr:col>1</xdr:col>
      <xdr:colOff>600075</xdr:colOff>
      <xdr:row>27</xdr:row>
      <xdr:rowOff>85726</xdr:rowOff>
    </xdr:from>
    <xdr:to>
      <xdr:col>1</xdr:col>
      <xdr:colOff>1038225</xdr:colOff>
      <xdr:row>29</xdr:row>
      <xdr:rowOff>114300</xdr:rowOff>
    </xdr:to>
    <xdr:sp macro="" textlink="">
      <xdr:nvSpPr>
        <xdr:cNvPr id="9" name="Elipse 8"/>
        <xdr:cNvSpPr/>
      </xdr:nvSpPr>
      <xdr:spPr>
        <a:xfrm>
          <a:off x="1209675" y="5200651"/>
          <a:ext cx="438150" cy="409574"/>
        </a:xfrm>
        <a:prstGeom prst="ellipse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666750</xdr:colOff>
      <xdr:row>27</xdr:row>
      <xdr:rowOff>85725</xdr:rowOff>
    </xdr:from>
    <xdr:ext cx="314638" cy="405432"/>
    <xdr:sp macro="" textlink="">
      <xdr:nvSpPr>
        <xdr:cNvPr id="10" name="CaixaDeTexto 9"/>
        <xdr:cNvSpPr txBox="1"/>
      </xdr:nvSpPr>
      <xdr:spPr>
        <a:xfrm>
          <a:off x="1276350" y="5200650"/>
          <a:ext cx="31463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/>
            <a:t>1</a:t>
          </a:r>
        </a:p>
      </xdr:txBody>
    </xdr:sp>
    <xdr:clientData/>
  </xdr:oneCellAnchor>
  <xdr:twoCellAnchor>
    <xdr:from>
      <xdr:col>1</xdr:col>
      <xdr:colOff>1190625</xdr:colOff>
      <xdr:row>27</xdr:row>
      <xdr:rowOff>66676</xdr:rowOff>
    </xdr:from>
    <xdr:to>
      <xdr:col>2</xdr:col>
      <xdr:colOff>0</xdr:colOff>
      <xdr:row>29</xdr:row>
      <xdr:rowOff>95250</xdr:rowOff>
    </xdr:to>
    <xdr:sp macro="" textlink="">
      <xdr:nvSpPr>
        <xdr:cNvPr id="12" name="Elipse 11"/>
        <xdr:cNvSpPr/>
      </xdr:nvSpPr>
      <xdr:spPr>
        <a:xfrm>
          <a:off x="1800225" y="5181601"/>
          <a:ext cx="438150" cy="409574"/>
        </a:xfrm>
        <a:prstGeom prst="ellipse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1257300</xdr:colOff>
      <xdr:row>27</xdr:row>
      <xdr:rowOff>66675</xdr:rowOff>
    </xdr:from>
    <xdr:ext cx="314638" cy="405432"/>
    <xdr:sp macro="" textlink="">
      <xdr:nvSpPr>
        <xdr:cNvPr id="13" name="CaixaDeTexto 12"/>
        <xdr:cNvSpPr txBox="1"/>
      </xdr:nvSpPr>
      <xdr:spPr>
        <a:xfrm>
          <a:off x="1866900" y="5181600"/>
          <a:ext cx="31463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/>
            <a:t>2</a:t>
          </a:r>
        </a:p>
      </xdr:txBody>
    </xdr:sp>
    <xdr:clientData/>
  </xdr:oneCellAnchor>
  <xdr:twoCellAnchor>
    <xdr:from>
      <xdr:col>1</xdr:col>
      <xdr:colOff>504825</xdr:colOff>
      <xdr:row>26</xdr:row>
      <xdr:rowOff>190499</xdr:rowOff>
    </xdr:from>
    <xdr:to>
      <xdr:col>2</xdr:col>
      <xdr:colOff>95250</xdr:colOff>
      <xdr:row>29</xdr:row>
      <xdr:rowOff>171450</xdr:rowOff>
    </xdr:to>
    <xdr:sp macro="" textlink="">
      <xdr:nvSpPr>
        <xdr:cNvPr id="14" name="Colchete duplo 13"/>
        <xdr:cNvSpPr/>
      </xdr:nvSpPr>
      <xdr:spPr>
        <a:xfrm>
          <a:off x="1114425" y="5114924"/>
          <a:ext cx="1219200" cy="552451"/>
        </a:xfrm>
        <a:prstGeom prst="bracketPair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104776</xdr:colOff>
      <xdr:row>27</xdr:row>
      <xdr:rowOff>95250</xdr:rowOff>
    </xdr:from>
    <xdr:to>
      <xdr:col>2</xdr:col>
      <xdr:colOff>466726</xdr:colOff>
      <xdr:row>29</xdr:row>
      <xdr:rowOff>85725</xdr:rowOff>
    </xdr:to>
    <xdr:sp macro="" textlink="">
      <xdr:nvSpPr>
        <xdr:cNvPr id="15" name="Multiplicar 14"/>
        <xdr:cNvSpPr/>
      </xdr:nvSpPr>
      <xdr:spPr>
        <a:xfrm>
          <a:off x="2343151" y="5210175"/>
          <a:ext cx="361950" cy="371475"/>
        </a:xfrm>
        <a:prstGeom prst="mathMultiply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476250</xdr:colOff>
      <xdr:row>27</xdr:row>
      <xdr:rowOff>66676</xdr:rowOff>
    </xdr:from>
    <xdr:to>
      <xdr:col>2</xdr:col>
      <xdr:colOff>914400</xdr:colOff>
      <xdr:row>29</xdr:row>
      <xdr:rowOff>95250</xdr:rowOff>
    </xdr:to>
    <xdr:sp macro="" textlink="">
      <xdr:nvSpPr>
        <xdr:cNvPr id="16" name="Elipse 15"/>
        <xdr:cNvSpPr/>
      </xdr:nvSpPr>
      <xdr:spPr>
        <a:xfrm>
          <a:off x="2714625" y="5181601"/>
          <a:ext cx="438150" cy="409574"/>
        </a:xfrm>
        <a:prstGeom prst="ellipse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</xdr:col>
      <xdr:colOff>542925</xdr:colOff>
      <xdr:row>27</xdr:row>
      <xdr:rowOff>66675</xdr:rowOff>
    </xdr:from>
    <xdr:ext cx="314638" cy="405432"/>
    <xdr:sp macro="" textlink="">
      <xdr:nvSpPr>
        <xdr:cNvPr id="17" name="CaixaDeTexto 16"/>
        <xdr:cNvSpPr txBox="1"/>
      </xdr:nvSpPr>
      <xdr:spPr>
        <a:xfrm>
          <a:off x="2781300" y="5181600"/>
          <a:ext cx="31463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/>
            <a:t>3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3590925</xdr:colOff>
      <xdr:row>0</xdr:row>
      <xdr:rowOff>66675</xdr:rowOff>
    </xdr:from>
    <xdr:to>
      <xdr:col>5</xdr:col>
      <xdr:colOff>4793610</xdr:colOff>
      <xdr:row>3</xdr:row>
      <xdr:rowOff>161925</xdr:rowOff>
    </xdr:to>
    <xdr:pic>
      <xdr:nvPicPr>
        <xdr:cNvPr id="2" name="Picture 2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5034"/>
        <a:stretch/>
      </xdr:blipFill>
      <xdr:spPr bwMode="auto">
        <a:xfrm>
          <a:off x="13630275" y="66675"/>
          <a:ext cx="1202685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0</xdr:rowOff>
        </xdr:from>
        <xdr:to>
          <xdr:col>7</xdr:col>
          <xdr:colOff>0</xdr:colOff>
          <xdr:row>17</xdr:row>
          <xdr:rowOff>9525</xdr:rowOff>
        </xdr:to>
        <xdr:sp macro="" textlink="">
          <xdr:nvSpPr>
            <xdr:cNvPr id="6515" name="Group Box 1395" hidden="1">
              <a:extLst>
                <a:ext uri="{63B3BB69-23CF-44E3-9099-C40C66FF867C}">
                  <a14:compatExt spid="_x0000_s6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16</xdr:row>
          <xdr:rowOff>0</xdr:rowOff>
        </xdr:from>
        <xdr:to>
          <xdr:col>2</xdr:col>
          <xdr:colOff>533400</xdr:colOff>
          <xdr:row>17</xdr:row>
          <xdr:rowOff>9525</xdr:rowOff>
        </xdr:to>
        <xdr:sp macro="" textlink="">
          <xdr:nvSpPr>
            <xdr:cNvPr id="6516" name="Option Button 1396" hidden="1">
              <a:extLst>
                <a:ext uri="{63B3BB69-23CF-44E3-9099-C40C66FF867C}">
                  <a14:compatExt spid="_x0000_s6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16</xdr:row>
          <xdr:rowOff>9525</xdr:rowOff>
        </xdr:from>
        <xdr:to>
          <xdr:col>3</xdr:col>
          <xdr:colOff>638175</xdr:colOff>
          <xdr:row>17</xdr:row>
          <xdr:rowOff>9525</xdr:rowOff>
        </xdr:to>
        <xdr:sp macro="" textlink="">
          <xdr:nvSpPr>
            <xdr:cNvPr id="6517" name="Option Button 1397" hidden="1">
              <a:extLst>
                <a:ext uri="{63B3BB69-23CF-44E3-9099-C40C66FF867C}">
                  <a14:compatExt spid="_x0000_s6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16</xdr:row>
          <xdr:rowOff>0</xdr:rowOff>
        </xdr:from>
        <xdr:to>
          <xdr:col>4</xdr:col>
          <xdr:colOff>666750</xdr:colOff>
          <xdr:row>17</xdr:row>
          <xdr:rowOff>9525</xdr:rowOff>
        </xdr:to>
        <xdr:sp macro="" textlink="">
          <xdr:nvSpPr>
            <xdr:cNvPr id="6518" name="Option Button 1398" hidden="1">
              <a:extLst>
                <a:ext uri="{63B3BB69-23CF-44E3-9099-C40C66FF867C}">
                  <a14:compatExt spid="_x0000_s6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16</xdr:row>
          <xdr:rowOff>9525</xdr:rowOff>
        </xdr:from>
        <xdr:to>
          <xdr:col>5</xdr:col>
          <xdr:colOff>714375</xdr:colOff>
          <xdr:row>17</xdr:row>
          <xdr:rowOff>9525</xdr:rowOff>
        </xdr:to>
        <xdr:sp macro="" textlink="">
          <xdr:nvSpPr>
            <xdr:cNvPr id="6519" name="Option Button 1399" hidden="1">
              <a:extLst>
                <a:ext uri="{63B3BB69-23CF-44E3-9099-C40C66FF867C}">
                  <a14:compatExt spid="_x0000_s6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16</xdr:row>
          <xdr:rowOff>9525</xdr:rowOff>
        </xdr:from>
        <xdr:to>
          <xdr:col>6</xdr:col>
          <xdr:colOff>628650</xdr:colOff>
          <xdr:row>17</xdr:row>
          <xdr:rowOff>9525</xdr:rowOff>
        </xdr:to>
        <xdr:sp macro="" textlink="">
          <xdr:nvSpPr>
            <xdr:cNvPr id="6520" name="Option Button 1400" hidden="1">
              <a:extLst>
                <a:ext uri="{63B3BB69-23CF-44E3-9099-C40C66FF867C}">
                  <a14:compatExt spid="_x0000_s65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0</xdr:rowOff>
        </xdr:from>
        <xdr:to>
          <xdr:col>7</xdr:col>
          <xdr:colOff>0</xdr:colOff>
          <xdr:row>15</xdr:row>
          <xdr:rowOff>9525</xdr:rowOff>
        </xdr:to>
        <xdr:sp macro="" textlink="">
          <xdr:nvSpPr>
            <xdr:cNvPr id="6551" name="Group Box 1431" hidden="1">
              <a:extLst>
                <a:ext uri="{63B3BB69-23CF-44E3-9099-C40C66FF867C}">
                  <a14:compatExt spid="_x0000_s6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14</xdr:row>
          <xdr:rowOff>0</xdr:rowOff>
        </xdr:from>
        <xdr:to>
          <xdr:col>2</xdr:col>
          <xdr:colOff>533400</xdr:colOff>
          <xdr:row>15</xdr:row>
          <xdr:rowOff>9525</xdr:rowOff>
        </xdr:to>
        <xdr:sp macro="" textlink="">
          <xdr:nvSpPr>
            <xdr:cNvPr id="6552" name="Option Button 1432" hidden="1">
              <a:extLst>
                <a:ext uri="{63B3BB69-23CF-44E3-9099-C40C66FF867C}">
                  <a14:compatExt spid="_x0000_s6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14</xdr:row>
          <xdr:rowOff>9525</xdr:rowOff>
        </xdr:from>
        <xdr:to>
          <xdr:col>3</xdr:col>
          <xdr:colOff>638175</xdr:colOff>
          <xdr:row>15</xdr:row>
          <xdr:rowOff>9525</xdr:rowOff>
        </xdr:to>
        <xdr:sp macro="" textlink="">
          <xdr:nvSpPr>
            <xdr:cNvPr id="6553" name="Option Button 1433" hidden="1">
              <a:extLst>
                <a:ext uri="{63B3BB69-23CF-44E3-9099-C40C66FF867C}">
                  <a14:compatExt spid="_x0000_s6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14</xdr:row>
          <xdr:rowOff>0</xdr:rowOff>
        </xdr:from>
        <xdr:to>
          <xdr:col>4</xdr:col>
          <xdr:colOff>666750</xdr:colOff>
          <xdr:row>15</xdr:row>
          <xdr:rowOff>9525</xdr:rowOff>
        </xdr:to>
        <xdr:sp macro="" textlink="">
          <xdr:nvSpPr>
            <xdr:cNvPr id="6554" name="Option Button 1434" hidden="1">
              <a:extLst>
                <a:ext uri="{63B3BB69-23CF-44E3-9099-C40C66FF867C}">
                  <a14:compatExt spid="_x0000_s6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14</xdr:row>
          <xdr:rowOff>9525</xdr:rowOff>
        </xdr:from>
        <xdr:to>
          <xdr:col>5</xdr:col>
          <xdr:colOff>714375</xdr:colOff>
          <xdr:row>15</xdr:row>
          <xdr:rowOff>9525</xdr:rowOff>
        </xdr:to>
        <xdr:sp macro="" textlink="">
          <xdr:nvSpPr>
            <xdr:cNvPr id="6555" name="Option Button 1435" hidden="1">
              <a:extLst>
                <a:ext uri="{63B3BB69-23CF-44E3-9099-C40C66FF867C}">
                  <a14:compatExt spid="_x0000_s6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14</xdr:row>
          <xdr:rowOff>9525</xdr:rowOff>
        </xdr:from>
        <xdr:to>
          <xdr:col>6</xdr:col>
          <xdr:colOff>628650</xdr:colOff>
          <xdr:row>15</xdr:row>
          <xdr:rowOff>9525</xdr:rowOff>
        </xdr:to>
        <xdr:sp macro="" textlink="">
          <xdr:nvSpPr>
            <xdr:cNvPr id="6556" name="Option Button 1436" hidden="1">
              <a:extLst>
                <a:ext uri="{63B3BB69-23CF-44E3-9099-C40C66FF867C}">
                  <a14:compatExt spid="_x0000_s6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0</xdr:rowOff>
        </xdr:from>
        <xdr:to>
          <xdr:col>7</xdr:col>
          <xdr:colOff>0</xdr:colOff>
          <xdr:row>38</xdr:row>
          <xdr:rowOff>180975</xdr:rowOff>
        </xdr:to>
        <xdr:sp macro="" textlink="">
          <xdr:nvSpPr>
            <xdr:cNvPr id="6708" name="Group Box 1588" hidden="1">
              <a:extLst>
                <a:ext uri="{63B3BB69-23CF-44E3-9099-C40C66FF867C}">
                  <a14:compatExt spid="_x0000_s6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38</xdr:row>
          <xdr:rowOff>19050</xdr:rowOff>
        </xdr:from>
        <xdr:to>
          <xdr:col>2</xdr:col>
          <xdr:colOff>485775</xdr:colOff>
          <xdr:row>38</xdr:row>
          <xdr:rowOff>171450</xdr:rowOff>
        </xdr:to>
        <xdr:sp macro="" textlink="">
          <xdr:nvSpPr>
            <xdr:cNvPr id="6709" name="Option Button 1589" hidden="1">
              <a:extLst>
                <a:ext uri="{63B3BB69-23CF-44E3-9099-C40C66FF867C}">
                  <a14:compatExt spid="_x0000_s6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38</xdr:row>
          <xdr:rowOff>19050</xdr:rowOff>
        </xdr:from>
        <xdr:to>
          <xdr:col>3</xdr:col>
          <xdr:colOff>542925</xdr:colOff>
          <xdr:row>38</xdr:row>
          <xdr:rowOff>180975</xdr:rowOff>
        </xdr:to>
        <xdr:sp macro="" textlink="">
          <xdr:nvSpPr>
            <xdr:cNvPr id="6710" name="Option Button 1590" hidden="1">
              <a:extLst>
                <a:ext uri="{63B3BB69-23CF-44E3-9099-C40C66FF867C}">
                  <a14:compatExt spid="_x0000_s6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38</xdr:row>
          <xdr:rowOff>28575</xdr:rowOff>
        </xdr:from>
        <xdr:to>
          <xdr:col>4</xdr:col>
          <xdr:colOff>571500</xdr:colOff>
          <xdr:row>38</xdr:row>
          <xdr:rowOff>161925</xdr:rowOff>
        </xdr:to>
        <xdr:sp macro="" textlink="">
          <xdr:nvSpPr>
            <xdr:cNvPr id="6711" name="Option Button 1591" hidden="1">
              <a:extLst>
                <a:ext uri="{63B3BB69-23CF-44E3-9099-C40C66FF867C}">
                  <a14:compatExt spid="_x0000_s6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38</xdr:row>
          <xdr:rowOff>19050</xdr:rowOff>
        </xdr:from>
        <xdr:to>
          <xdr:col>5</xdr:col>
          <xdr:colOff>657225</xdr:colOff>
          <xdr:row>38</xdr:row>
          <xdr:rowOff>161925</xdr:rowOff>
        </xdr:to>
        <xdr:sp macro="" textlink="">
          <xdr:nvSpPr>
            <xdr:cNvPr id="6712" name="Option Button 1592" hidden="1">
              <a:extLst>
                <a:ext uri="{63B3BB69-23CF-44E3-9099-C40C66FF867C}">
                  <a14:compatExt spid="_x0000_s6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38</xdr:row>
          <xdr:rowOff>28575</xdr:rowOff>
        </xdr:from>
        <xdr:to>
          <xdr:col>6</xdr:col>
          <xdr:colOff>514350</xdr:colOff>
          <xdr:row>38</xdr:row>
          <xdr:rowOff>161925</xdr:rowOff>
        </xdr:to>
        <xdr:sp macro="" textlink="">
          <xdr:nvSpPr>
            <xdr:cNvPr id="6713" name="Option Button 1593" hidden="1">
              <a:extLst>
                <a:ext uri="{63B3BB69-23CF-44E3-9099-C40C66FF867C}">
                  <a14:compatExt spid="_x0000_s6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7</xdr:col>
          <xdr:colOff>0</xdr:colOff>
          <xdr:row>35</xdr:row>
          <xdr:rowOff>180975</xdr:rowOff>
        </xdr:to>
        <xdr:sp macro="" textlink="">
          <xdr:nvSpPr>
            <xdr:cNvPr id="6720" name="Group Box 1600" hidden="1">
              <a:extLst>
                <a:ext uri="{63B3BB69-23CF-44E3-9099-C40C66FF867C}">
                  <a14:compatExt spid="_x0000_s6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35</xdr:row>
          <xdr:rowOff>19050</xdr:rowOff>
        </xdr:from>
        <xdr:to>
          <xdr:col>2</xdr:col>
          <xdr:colOff>485775</xdr:colOff>
          <xdr:row>35</xdr:row>
          <xdr:rowOff>171450</xdr:rowOff>
        </xdr:to>
        <xdr:sp macro="" textlink="">
          <xdr:nvSpPr>
            <xdr:cNvPr id="6721" name="Option Button 1601" hidden="1">
              <a:extLst>
                <a:ext uri="{63B3BB69-23CF-44E3-9099-C40C66FF867C}">
                  <a14:compatExt spid="_x0000_s6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35</xdr:row>
          <xdr:rowOff>19050</xdr:rowOff>
        </xdr:from>
        <xdr:to>
          <xdr:col>3</xdr:col>
          <xdr:colOff>542925</xdr:colOff>
          <xdr:row>35</xdr:row>
          <xdr:rowOff>180975</xdr:rowOff>
        </xdr:to>
        <xdr:sp macro="" textlink="">
          <xdr:nvSpPr>
            <xdr:cNvPr id="6722" name="Option Button 1602" hidden="1">
              <a:extLst>
                <a:ext uri="{63B3BB69-23CF-44E3-9099-C40C66FF867C}">
                  <a14:compatExt spid="_x0000_s6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35</xdr:row>
          <xdr:rowOff>28575</xdr:rowOff>
        </xdr:from>
        <xdr:to>
          <xdr:col>4</xdr:col>
          <xdr:colOff>571500</xdr:colOff>
          <xdr:row>35</xdr:row>
          <xdr:rowOff>161925</xdr:rowOff>
        </xdr:to>
        <xdr:sp macro="" textlink="">
          <xdr:nvSpPr>
            <xdr:cNvPr id="6723" name="Option Button 1603" hidden="1">
              <a:extLst>
                <a:ext uri="{63B3BB69-23CF-44E3-9099-C40C66FF867C}">
                  <a14:compatExt spid="_x0000_s6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35</xdr:row>
          <xdr:rowOff>19050</xdr:rowOff>
        </xdr:from>
        <xdr:to>
          <xdr:col>5</xdr:col>
          <xdr:colOff>647700</xdr:colOff>
          <xdr:row>35</xdr:row>
          <xdr:rowOff>161925</xdr:rowOff>
        </xdr:to>
        <xdr:sp macro="" textlink="">
          <xdr:nvSpPr>
            <xdr:cNvPr id="6724" name="Option Button 1604" hidden="1">
              <a:extLst>
                <a:ext uri="{63B3BB69-23CF-44E3-9099-C40C66FF867C}">
                  <a14:compatExt spid="_x0000_s6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35</xdr:row>
          <xdr:rowOff>28575</xdr:rowOff>
        </xdr:from>
        <xdr:to>
          <xdr:col>6</xdr:col>
          <xdr:colOff>495300</xdr:colOff>
          <xdr:row>35</xdr:row>
          <xdr:rowOff>161925</xdr:rowOff>
        </xdr:to>
        <xdr:sp macro="" textlink="">
          <xdr:nvSpPr>
            <xdr:cNvPr id="6725" name="Option Button 1605" hidden="1">
              <a:extLst>
                <a:ext uri="{63B3BB69-23CF-44E3-9099-C40C66FF867C}">
                  <a14:compatExt spid="_x0000_s6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41</xdr:row>
          <xdr:rowOff>0</xdr:rowOff>
        </xdr:from>
        <xdr:to>
          <xdr:col>7</xdr:col>
          <xdr:colOff>0</xdr:colOff>
          <xdr:row>41</xdr:row>
          <xdr:rowOff>180975</xdr:rowOff>
        </xdr:to>
        <xdr:sp macro="" textlink="">
          <xdr:nvSpPr>
            <xdr:cNvPr id="6751" name="Group Box 1631" hidden="1">
              <a:extLst>
                <a:ext uri="{63B3BB69-23CF-44E3-9099-C40C66FF867C}">
                  <a14:compatExt spid="_x0000_s6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41</xdr:row>
          <xdr:rowOff>19050</xdr:rowOff>
        </xdr:from>
        <xdr:to>
          <xdr:col>2</xdr:col>
          <xdr:colOff>485775</xdr:colOff>
          <xdr:row>41</xdr:row>
          <xdr:rowOff>171450</xdr:rowOff>
        </xdr:to>
        <xdr:sp macro="" textlink="">
          <xdr:nvSpPr>
            <xdr:cNvPr id="6752" name="Option Button 1632" hidden="1">
              <a:extLst>
                <a:ext uri="{63B3BB69-23CF-44E3-9099-C40C66FF867C}">
                  <a14:compatExt spid="_x0000_s6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41</xdr:row>
          <xdr:rowOff>19050</xdr:rowOff>
        </xdr:from>
        <xdr:to>
          <xdr:col>3</xdr:col>
          <xdr:colOff>542925</xdr:colOff>
          <xdr:row>41</xdr:row>
          <xdr:rowOff>180975</xdr:rowOff>
        </xdr:to>
        <xdr:sp macro="" textlink="">
          <xdr:nvSpPr>
            <xdr:cNvPr id="6753" name="Option Button 1633" hidden="1">
              <a:extLst>
                <a:ext uri="{63B3BB69-23CF-44E3-9099-C40C66FF867C}">
                  <a14:compatExt spid="_x0000_s6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41</xdr:row>
          <xdr:rowOff>28575</xdr:rowOff>
        </xdr:from>
        <xdr:to>
          <xdr:col>4</xdr:col>
          <xdr:colOff>571500</xdr:colOff>
          <xdr:row>41</xdr:row>
          <xdr:rowOff>161925</xdr:rowOff>
        </xdr:to>
        <xdr:sp macro="" textlink="">
          <xdr:nvSpPr>
            <xdr:cNvPr id="6754" name="Option Button 1634" hidden="1">
              <a:extLst>
                <a:ext uri="{63B3BB69-23CF-44E3-9099-C40C66FF867C}">
                  <a14:compatExt spid="_x0000_s6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41</xdr:row>
          <xdr:rowOff>19050</xdr:rowOff>
        </xdr:from>
        <xdr:to>
          <xdr:col>5</xdr:col>
          <xdr:colOff>666750</xdr:colOff>
          <xdr:row>41</xdr:row>
          <xdr:rowOff>161925</xdr:rowOff>
        </xdr:to>
        <xdr:sp macro="" textlink="">
          <xdr:nvSpPr>
            <xdr:cNvPr id="6755" name="Option Button 1635" hidden="1">
              <a:extLst>
                <a:ext uri="{63B3BB69-23CF-44E3-9099-C40C66FF867C}">
                  <a14:compatExt spid="_x0000_s6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41</xdr:row>
          <xdr:rowOff>28575</xdr:rowOff>
        </xdr:from>
        <xdr:to>
          <xdr:col>6</xdr:col>
          <xdr:colOff>514350</xdr:colOff>
          <xdr:row>41</xdr:row>
          <xdr:rowOff>161925</xdr:rowOff>
        </xdr:to>
        <xdr:sp macro="" textlink="">
          <xdr:nvSpPr>
            <xdr:cNvPr id="6756" name="Option Button 1636" hidden="1">
              <a:extLst>
                <a:ext uri="{63B3BB69-23CF-44E3-9099-C40C66FF867C}">
                  <a14:compatExt spid="_x0000_s6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0</xdr:rowOff>
        </xdr:from>
        <xdr:to>
          <xdr:col>7</xdr:col>
          <xdr:colOff>0</xdr:colOff>
          <xdr:row>41</xdr:row>
          <xdr:rowOff>0</xdr:rowOff>
        </xdr:to>
        <xdr:sp macro="" textlink="">
          <xdr:nvSpPr>
            <xdr:cNvPr id="6919" name="Group Box 1799" hidden="1">
              <a:extLst>
                <a:ext uri="{63B3BB69-23CF-44E3-9099-C40C66FF867C}">
                  <a14:compatExt spid="_x0000_s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40</xdr:row>
          <xdr:rowOff>19050</xdr:rowOff>
        </xdr:from>
        <xdr:to>
          <xdr:col>2</xdr:col>
          <xdr:colOff>485775</xdr:colOff>
          <xdr:row>40</xdr:row>
          <xdr:rowOff>171450</xdr:rowOff>
        </xdr:to>
        <xdr:sp macro="" textlink="">
          <xdr:nvSpPr>
            <xdr:cNvPr id="6920" name="Option Button 1800" hidden="1">
              <a:extLst>
                <a:ext uri="{63B3BB69-23CF-44E3-9099-C40C66FF867C}">
                  <a14:compatExt spid="_x0000_s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40</xdr:row>
          <xdr:rowOff>19050</xdr:rowOff>
        </xdr:from>
        <xdr:to>
          <xdr:col>3</xdr:col>
          <xdr:colOff>542925</xdr:colOff>
          <xdr:row>40</xdr:row>
          <xdr:rowOff>180975</xdr:rowOff>
        </xdr:to>
        <xdr:sp macro="" textlink="">
          <xdr:nvSpPr>
            <xdr:cNvPr id="6921" name="Option Button 1801" hidden="1">
              <a:extLst>
                <a:ext uri="{63B3BB69-23CF-44E3-9099-C40C66FF867C}">
                  <a14:compatExt spid="_x0000_s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40</xdr:row>
          <xdr:rowOff>28575</xdr:rowOff>
        </xdr:from>
        <xdr:to>
          <xdr:col>4</xdr:col>
          <xdr:colOff>561975</xdr:colOff>
          <xdr:row>40</xdr:row>
          <xdr:rowOff>161925</xdr:rowOff>
        </xdr:to>
        <xdr:sp macro="" textlink="">
          <xdr:nvSpPr>
            <xdr:cNvPr id="6922" name="Option Button 1802" hidden="1">
              <a:extLst>
                <a:ext uri="{63B3BB69-23CF-44E3-9099-C40C66FF867C}">
                  <a14:compatExt spid="_x0000_s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40</xdr:row>
          <xdr:rowOff>9525</xdr:rowOff>
        </xdr:from>
        <xdr:to>
          <xdr:col>5</xdr:col>
          <xdr:colOff>657225</xdr:colOff>
          <xdr:row>40</xdr:row>
          <xdr:rowOff>152400</xdr:rowOff>
        </xdr:to>
        <xdr:sp macro="" textlink="">
          <xdr:nvSpPr>
            <xdr:cNvPr id="6923" name="Option Button 1803" hidden="1">
              <a:extLst>
                <a:ext uri="{63B3BB69-23CF-44E3-9099-C40C66FF867C}">
                  <a14:compatExt spid="_x0000_s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40</xdr:row>
          <xdr:rowOff>28575</xdr:rowOff>
        </xdr:from>
        <xdr:to>
          <xdr:col>6</xdr:col>
          <xdr:colOff>523875</xdr:colOff>
          <xdr:row>40</xdr:row>
          <xdr:rowOff>161925</xdr:rowOff>
        </xdr:to>
        <xdr:sp macro="" textlink="">
          <xdr:nvSpPr>
            <xdr:cNvPr id="6924" name="Option Button 1804" hidden="1">
              <a:extLst>
                <a:ext uri="{63B3BB69-23CF-44E3-9099-C40C66FF867C}">
                  <a14:compatExt spid="_x0000_s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</xdr:row>
          <xdr:rowOff>0</xdr:rowOff>
        </xdr:from>
        <xdr:to>
          <xdr:col>7</xdr:col>
          <xdr:colOff>0</xdr:colOff>
          <xdr:row>14</xdr:row>
          <xdr:rowOff>9525</xdr:rowOff>
        </xdr:to>
        <xdr:sp macro="" textlink="">
          <xdr:nvSpPr>
            <xdr:cNvPr id="6927" name="Group Box 1807" hidden="1">
              <a:extLst>
                <a:ext uri="{63B3BB69-23CF-44E3-9099-C40C66FF867C}">
                  <a14:compatExt spid="_x0000_s6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13</xdr:row>
          <xdr:rowOff>0</xdr:rowOff>
        </xdr:from>
        <xdr:to>
          <xdr:col>2</xdr:col>
          <xdr:colOff>533400</xdr:colOff>
          <xdr:row>14</xdr:row>
          <xdr:rowOff>9525</xdr:rowOff>
        </xdr:to>
        <xdr:sp macro="" textlink="">
          <xdr:nvSpPr>
            <xdr:cNvPr id="6928" name="Option Button 1808" hidden="1">
              <a:extLst>
                <a:ext uri="{63B3BB69-23CF-44E3-9099-C40C66FF867C}">
                  <a14:compatExt spid="_x0000_s6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13</xdr:row>
          <xdr:rowOff>9525</xdr:rowOff>
        </xdr:from>
        <xdr:to>
          <xdr:col>3</xdr:col>
          <xdr:colOff>638175</xdr:colOff>
          <xdr:row>14</xdr:row>
          <xdr:rowOff>9525</xdr:rowOff>
        </xdr:to>
        <xdr:sp macro="" textlink="">
          <xdr:nvSpPr>
            <xdr:cNvPr id="6929" name="Option Button 1809" hidden="1">
              <a:extLst>
                <a:ext uri="{63B3BB69-23CF-44E3-9099-C40C66FF867C}">
                  <a14:compatExt spid="_x0000_s6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13</xdr:row>
          <xdr:rowOff>0</xdr:rowOff>
        </xdr:from>
        <xdr:to>
          <xdr:col>4</xdr:col>
          <xdr:colOff>666750</xdr:colOff>
          <xdr:row>14</xdr:row>
          <xdr:rowOff>9525</xdr:rowOff>
        </xdr:to>
        <xdr:sp macro="" textlink="">
          <xdr:nvSpPr>
            <xdr:cNvPr id="6930" name="Option Button 1810" hidden="1">
              <a:extLst>
                <a:ext uri="{63B3BB69-23CF-44E3-9099-C40C66FF867C}">
                  <a14:compatExt spid="_x0000_s6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13</xdr:row>
          <xdr:rowOff>9525</xdr:rowOff>
        </xdr:from>
        <xdr:to>
          <xdr:col>5</xdr:col>
          <xdr:colOff>714375</xdr:colOff>
          <xdr:row>14</xdr:row>
          <xdr:rowOff>9525</xdr:rowOff>
        </xdr:to>
        <xdr:sp macro="" textlink="">
          <xdr:nvSpPr>
            <xdr:cNvPr id="6931" name="Option Button 1811" hidden="1">
              <a:extLst>
                <a:ext uri="{63B3BB69-23CF-44E3-9099-C40C66FF867C}">
                  <a14:compatExt spid="_x0000_s6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13</xdr:row>
          <xdr:rowOff>9525</xdr:rowOff>
        </xdr:from>
        <xdr:to>
          <xdr:col>6</xdr:col>
          <xdr:colOff>628650</xdr:colOff>
          <xdr:row>14</xdr:row>
          <xdr:rowOff>9525</xdr:rowOff>
        </xdr:to>
        <xdr:sp macro="" textlink="">
          <xdr:nvSpPr>
            <xdr:cNvPr id="6932" name="Option Button 1812" hidden="1">
              <a:extLst>
                <a:ext uri="{63B3BB69-23CF-44E3-9099-C40C66FF867C}">
                  <a14:compatExt spid="_x0000_s6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0</xdr:rowOff>
        </xdr:from>
        <xdr:to>
          <xdr:col>7</xdr:col>
          <xdr:colOff>0</xdr:colOff>
          <xdr:row>13</xdr:row>
          <xdr:rowOff>9525</xdr:rowOff>
        </xdr:to>
        <xdr:sp macro="" textlink="">
          <xdr:nvSpPr>
            <xdr:cNvPr id="6945" name="Group Box 1825" hidden="1">
              <a:extLst>
                <a:ext uri="{63B3BB69-23CF-44E3-9099-C40C66FF867C}">
                  <a14:compatExt spid="_x0000_s6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12</xdr:row>
          <xdr:rowOff>0</xdr:rowOff>
        </xdr:from>
        <xdr:to>
          <xdr:col>2</xdr:col>
          <xdr:colOff>533400</xdr:colOff>
          <xdr:row>13</xdr:row>
          <xdr:rowOff>9525</xdr:rowOff>
        </xdr:to>
        <xdr:sp macro="" textlink="">
          <xdr:nvSpPr>
            <xdr:cNvPr id="6946" name="Option Button 1826" hidden="1">
              <a:extLst>
                <a:ext uri="{63B3BB69-23CF-44E3-9099-C40C66FF867C}">
                  <a14:compatExt spid="_x0000_s6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6947" name="Option Button 1827" hidden="1">
              <a:extLst>
                <a:ext uri="{63B3BB69-23CF-44E3-9099-C40C66FF867C}">
                  <a14:compatExt spid="_x0000_s6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12</xdr:row>
          <xdr:rowOff>0</xdr:rowOff>
        </xdr:from>
        <xdr:to>
          <xdr:col>4</xdr:col>
          <xdr:colOff>666750</xdr:colOff>
          <xdr:row>13</xdr:row>
          <xdr:rowOff>9525</xdr:rowOff>
        </xdr:to>
        <xdr:sp macro="" textlink="">
          <xdr:nvSpPr>
            <xdr:cNvPr id="6948" name="Option Button 1828" hidden="1">
              <a:extLst>
                <a:ext uri="{63B3BB69-23CF-44E3-9099-C40C66FF867C}">
                  <a14:compatExt spid="_x0000_s6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12</xdr:row>
          <xdr:rowOff>9525</xdr:rowOff>
        </xdr:from>
        <xdr:to>
          <xdr:col>5</xdr:col>
          <xdr:colOff>714375</xdr:colOff>
          <xdr:row>13</xdr:row>
          <xdr:rowOff>9525</xdr:rowOff>
        </xdr:to>
        <xdr:sp macro="" textlink="">
          <xdr:nvSpPr>
            <xdr:cNvPr id="6949" name="Option Button 1829" hidden="1">
              <a:extLst>
                <a:ext uri="{63B3BB69-23CF-44E3-9099-C40C66FF867C}">
                  <a14:compatExt spid="_x0000_s6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12</xdr:row>
          <xdr:rowOff>9525</xdr:rowOff>
        </xdr:from>
        <xdr:to>
          <xdr:col>6</xdr:col>
          <xdr:colOff>628650</xdr:colOff>
          <xdr:row>13</xdr:row>
          <xdr:rowOff>9525</xdr:rowOff>
        </xdr:to>
        <xdr:sp macro="" textlink="">
          <xdr:nvSpPr>
            <xdr:cNvPr id="6950" name="Option Button 1830" hidden="1">
              <a:extLst>
                <a:ext uri="{63B3BB69-23CF-44E3-9099-C40C66FF867C}">
                  <a14:compatExt spid="_x0000_s6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0</xdr:rowOff>
        </xdr:from>
        <xdr:to>
          <xdr:col>7</xdr:col>
          <xdr:colOff>0</xdr:colOff>
          <xdr:row>12</xdr:row>
          <xdr:rowOff>9525</xdr:rowOff>
        </xdr:to>
        <xdr:sp macro="" textlink="">
          <xdr:nvSpPr>
            <xdr:cNvPr id="6951" name="Group Box 1831" hidden="1">
              <a:extLst>
                <a:ext uri="{63B3BB69-23CF-44E3-9099-C40C66FF867C}">
                  <a14:compatExt spid="_x0000_s6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11</xdr:row>
          <xdr:rowOff>0</xdr:rowOff>
        </xdr:from>
        <xdr:to>
          <xdr:col>2</xdr:col>
          <xdr:colOff>533400</xdr:colOff>
          <xdr:row>12</xdr:row>
          <xdr:rowOff>9525</xdr:rowOff>
        </xdr:to>
        <xdr:sp macro="" textlink="">
          <xdr:nvSpPr>
            <xdr:cNvPr id="6952" name="Option Button 1832" hidden="1">
              <a:extLst>
                <a:ext uri="{63B3BB69-23CF-44E3-9099-C40C66FF867C}">
                  <a14:compatExt spid="_x0000_s6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11</xdr:row>
          <xdr:rowOff>9525</xdr:rowOff>
        </xdr:from>
        <xdr:to>
          <xdr:col>3</xdr:col>
          <xdr:colOff>638175</xdr:colOff>
          <xdr:row>12</xdr:row>
          <xdr:rowOff>9525</xdr:rowOff>
        </xdr:to>
        <xdr:sp macro="" textlink="">
          <xdr:nvSpPr>
            <xdr:cNvPr id="6953" name="Option Button 1833" hidden="1">
              <a:extLst>
                <a:ext uri="{63B3BB69-23CF-44E3-9099-C40C66FF867C}">
                  <a14:compatExt spid="_x0000_s6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4</xdr:col>
          <xdr:colOff>657225</xdr:colOff>
          <xdr:row>12</xdr:row>
          <xdr:rowOff>9525</xdr:rowOff>
        </xdr:to>
        <xdr:sp macro="" textlink="">
          <xdr:nvSpPr>
            <xdr:cNvPr id="6954" name="Option Button 1834" hidden="1">
              <a:extLst>
                <a:ext uri="{63B3BB69-23CF-44E3-9099-C40C66FF867C}">
                  <a14:compatExt spid="_x0000_s6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11</xdr:row>
          <xdr:rowOff>9525</xdr:rowOff>
        </xdr:from>
        <xdr:to>
          <xdr:col>5</xdr:col>
          <xdr:colOff>714375</xdr:colOff>
          <xdr:row>12</xdr:row>
          <xdr:rowOff>9525</xdr:rowOff>
        </xdr:to>
        <xdr:sp macro="" textlink="">
          <xdr:nvSpPr>
            <xdr:cNvPr id="6955" name="Option Button 1835" hidden="1">
              <a:extLst>
                <a:ext uri="{63B3BB69-23CF-44E3-9099-C40C66FF867C}">
                  <a14:compatExt spid="_x0000_s6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11</xdr:row>
          <xdr:rowOff>9525</xdr:rowOff>
        </xdr:from>
        <xdr:to>
          <xdr:col>6</xdr:col>
          <xdr:colOff>628650</xdr:colOff>
          <xdr:row>12</xdr:row>
          <xdr:rowOff>9525</xdr:rowOff>
        </xdr:to>
        <xdr:sp macro="" textlink="">
          <xdr:nvSpPr>
            <xdr:cNvPr id="6956" name="Option Button 1836" hidden="1">
              <a:extLst>
                <a:ext uri="{63B3BB69-23CF-44E3-9099-C40C66FF867C}">
                  <a14:compatExt spid="_x0000_s6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0</xdr:rowOff>
        </xdr:from>
        <xdr:to>
          <xdr:col>7</xdr:col>
          <xdr:colOff>0</xdr:colOff>
          <xdr:row>34</xdr:row>
          <xdr:rowOff>180975</xdr:rowOff>
        </xdr:to>
        <xdr:sp macro="" textlink="">
          <xdr:nvSpPr>
            <xdr:cNvPr id="6987" name="Group Box 1867" hidden="1">
              <a:extLst>
                <a:ext uri="{63B3BB69-23CF-44E3-9099-C40C66FF867C}">
                  <a14:compatExt spid="_x0000_s6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34</xdr:row>
          <xdr:rowOff>19050</xdr:rowOff>
        </xdr:from>
        <xdr:to>
          <xdr:col>2</xdr:col>
          <xdr:colOff>485775</xdr:colOff>
          <xdr:row>34</xdr:row>
          <xdr:rowOff>171450</xdr:rowOff>
        </xdr:to>
        <xdr:sp macro="" textlink="">
          <xdr:nvSpPr>
            <xdr:cNvPr id="6988" name="Option Button 1868" hidden="1">
              <a:extLst>
                <a:ext uri="{63B3BB69-23CF-44E3-9099-C40C66FF867C}">
                  <a14:compatExt spid="_x0000_s6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34</xdr:row>
          <xdr:rowOff>19050</xdr:rowOff>
        </xdr:from>
        <xdr:to>
          <xdr:col>3</xdr:col>
          <xdr:colOff>542925</xdr:colOff>
          <xdr:row>34</xdr:row>
          <xdr:rowOff>180975</xdr:rowOff>
        </xdr:to>
        <xdr:sp macro="" textlink="">
          <xdr:nvSpPr>
            <xdr:cNvPr id="6989" name="Option Button 1869" hidden="1">
              <a:extLst>
                <a:ext uri="{63B3BB69-23CF-44E3-9099-C40C66FF867C}">
                  <a14:compatExt spid="_x0000_s6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34</xdr:row>
          <xdr:rowOff>28575</xdr:rowOff>
        </xdr:from>
        <xdr:to>
          <xdr:col>4</xdr:col>
          <xdr:colOff>571500</xdr:colOff>
          <xdr:row>34</xdr:row>
          <xdr:rowOff>161925</xdr:rowOff>
        </xdr:to>
        <xdr:sp macro="" textlink="">
          <xdr:nvSpPr>
            <xdr:cNvPr id="6990" name="Option Button 1870" hidden="1">
              <a:extLst>
                <a:ext uri="{63B3BB69-23CF-44E3-9099-C40C66FF867C}">
                  <a14:compatExt spid="_x0000_s6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34</xdr:row>
          <xdr:rowOff>19050</xdr:rowOff>
        </xdr:from>
        <xdr:to>
          <xdr:col>5</xdr:col>
          <xdr:colOff>647700</xdr:colOff>
          <xdr:row>34</xdr:row>
          <xdr:rowOff>161925</xdr:rowOff>
        </xdr:to>
        <xdr:sp macro="" textlink="">
          <xdr:nvSpPr>
            <xdr:cNvPr id="6991" name="Option Button 1871" hidden="1">
              <a:extLst>
                <a:ext uri="{63B3BB69-23CF-44E3-9099-C40C66FF867C}">
                  <a14:compatExt spid="_x0000_s6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34</xdr:row>
          <xdr:rowOff>28575</xdr:rowOff>
        </xdr:from>
        <xdr:to>
          <xdr:col>6</xdr:col>
          <xdr:colOff>495300</xdr:colOff>
          <xdr:row>34</xdr:row>
          <xdr:rowOff>161925</xdr:rowOff>
        </xdr:to>
        <xdr:sp macro="" textlink="">
          <xdr:nvSpPr>
            <xdr:cNvPr id="6992" name="Option Button 1872" hidden="1">
              <a:extLst>
                <a:ext uri="{63B3BB69-23CF-44E3-9099-C40C66FF867C}">
                  <a14:compatExt spid="_x0000_s6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0</xdr:rowOff>
        </xdr:from>
        <xdr:to>
          <xdr:col>7</xdr:col>
          <xdr:colOff>0</xdr:colOff>
          <xdr:row>37</xdr:row>
          <xdr:rowOff>180975</xdr:rowOff>
        </xdr:to>
        <xdr:sp macro="" textlink="">
          <xdr:nvSpPr>
            <xdr:cNvPr id="6993" name="Group Box 1873" hidden="1">
              <a:extLst>
                <a:ext uri="{63B3BB69-23CF-44E3-9099-C40C66FF867C}">
                  <a14:compatExt spid="_x0000_s6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37</xdr:row>
          <xdr:rowOff>19050</xdr:rowOff>
        </xdr:from>
        <xdr:to>
          <xdr:col>2</xdr:col>
          <xdr:colOff>485775</xdr:colOff>
          <xdr:row>37</xdr:row>
          <xdr:rowOff>171450</xdr:rowOff>
        </xdr:to>
        <xdr:sp macro="" textlink="">
          <xdr:nvSpPr>
            <xdr:cNvPr id="6994" name="Option Button 1874" hidden="1">
              <a:extLst>
                <a:ext uri="{63B3BB69-23CF-44E3-9099-C40C66FF867C}">
                  <a14:compatExt spid="_x0000_s6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37</xdr:row>
          <xdr:rowOff>19050</xdr:rowOff>
        </xdr:from>
        <xdr:to>
          <xdr:col>3</xdr:col>
          <xdr:colOff>542925</xdr:colOff>
          <xdr:row>37</xdr:row>
          <xdr:rowOff>180975</xdr:rowOff>
        </xdr:to>
        <xdr:sp macro="" textlink="">
          <xdr:nvSpPr>
            <xdr:cNvPr id="6995" name="Option Button 1875" hidden="1">
              <a:extLst>
                <a:ext uri="{63B3BB69-23CF-44E3-9099-C40C66FF867C}">
                  <a14:compatExt spid="_x0000_s6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37</xdr:row>
          <xdr:rowOff>28575</xdr:rowOff>
        </xdr:from>
        <xdr:to>
          <xdr:col>4</xdr:col>
          <xdr:colOff>571500</xdr:colOff>
          <xdr:row>37</xdr:row>
          <xdr:rowOff>161925</xdr:rowOff>
        </xdr:to>
        <xdr:sp macro="" textlink="">
          <xdr:nvSpPr>
            <xdr:cNvPr id="6996" name="Option Button 1876" hidden="1">
              <a:extLst>
                <a:ext uri="{63B3BB69-23CF-44E3-9099-C40C66FF867C}">
                  <a14:compatExt spid="_x0000_s6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37</xdr:row>
          <xdr:rowOff>19050</xdr:rowOff>
        </xdr:from>
        <xdr:to>
          <xdr:col>5</xdr:col>
          <xdr:colOff>657225</xdr:colOff>
          <xdr:row>37</xdr:row>
          <xdr:rowOff>161925</xdr:rowOff>
        </xdr:to>
        <xdr:sp macro="" textlink="">
          <xdr:nvSpPr>
            <xdr:cNvPr id="6997" name="Option Button 1877" hidden="1">
              <a:extLst>
                <a:ext uri="{63B3BB69-23CF-44E3-9099-C40C66FF867C}">
                  <a14:compatExt spid="_x0000_s6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37</xdr:row>
          <xdr:rowOff>28575</xdr:rowOff>
        </xdr:from>
        <xdr:to>
          <xdr:col>6</xdr:col>
          <xdr:colOff>504825</xdr:colOff>
          <xdr:row>37</xdr:row>
          <xdr:rowOff>161925</xdr:rowOff>
        </xdr:to>
        <xdr:sp macro="" textlink="">
          <xdr:nvSpPr>
            <xdr:cNvPr id="6998" name="Option Button 1878" hidden="1">
              <a:extLst>
                <a:ext uri="{63B3BB69-23CF-44E3-9099-C40C66FF867C}">
                  <a14:compatExt spid="_x0000_s6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43</xdr:row>
          <xdr:rowOff>0</xdr:rowOff>
        </xdr:from>
        <xdr:to>
          <xdr:col>7</xdr:col>
          <xdr:colOff>0</xdr:colOff>
          <xdr:row>43</xdr:row>
          <xdr:rowOff>180975</xdr:rowOff>
        </xdr:to>
        <xdr:sp macro="" textlink="">
          <xdr:nvSpPr>
            <xdr:cNvPr id="6999" name="Group Box 1879" hidden="1">
              <a:extLst>
                <a:ext uri="{63B3BB69-23CF-44E3-9099-C40C66FF867C}">
                  <a14:compatExt spid="_x0000_s6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43</xdr:row>
          <xdr:rowOff>19050</xdr:rowOff>
        </xdr:from>
        <xdr:to>
          <xdr:col>2</xdr:col>
          <xdr:colOff>485775</xdr:colOff>
          <xdr:row>43</xdr:row>
          <xdr:rowOff>171450</xdr:rowOff>
        </xdr:to>
        <xdr:sp macro="" textlink="">
          <xdr:nvSpPr>
            <xdr:cNvPr id="7000" name="Option Button 1880" hidden="1">
              <a:extLst>
                <a:ext uri="{63B3BB69-23CF-44E3-9099-C40C66FF867C}">
                  <a14:compatExt spid="_x0000_s7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43</xdr:row>
          <xdr:rowOff>19050</xdr:rowOff>
        </xdr:from>
        <xdr:to>
          <xdr:col>3</xdr:col>
          <xdr:colOff>542925</xdr:colOff>
          <xdr:row>43</xdr:row>
          <xdr:rowOff>180975</xdr:rowOff>
        </xdr:to>
        <xdr:sp macro="" textlink="">
          <xdr:nvSpPr>
            <xdr:cNvPr id="7001" name="Option Button 1881" hidden="1">
              <a:extLst>
                <a:ext uri="{63B3BB69-23CF-44E3-9099-C40C66FF867C}">
                  <a14:compatExt spid="_x0000_s7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43</xdr:row>
          <xdr:rowOff>28575</xdr:rowOff>
        </xdr:from>
        <xdr:to>
          <xdr:col>4</xdr:col>
          <xdr:colOff>571500</xdr:colOff>
          <xdr:row>43</xdr:row>
          <xdr:rowOff>161925</xdr:rowOff>
        </xdr:to>
        <xdr:sp macro="" textlink="">
          <xdr:nvSpPr>
            <xdr:cNvPr id="7002" name="Option Button 1882" hidden="1">
              <a:extLst>
                <a:ext uri="{63B3BB69-23CF-44E3-9099-C40C66FF867C}">
                  <a14:compatExt spid="_x0000_s7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43</xdr:row>
          <xdr:rowOff>19050</xdr:rowOff>
        </xdr:from>
        <xdr:to>
          <xdr:col>5</xdr:col>
          <xdr:colOff>666750</xdr:colOff>
          <xdr:row>43</xdr:row>
          <xdr:rowOff>161925</xdr:rowOff>
        </xdr:to>
        <xdr:sp macro="" textlink="">
          <xdr:nvSpPr>
            <xdr:cNvPr id="7003" name="Option Button 1883" hidden="1">
              <a:extLst>
                <a:ext uri="{63B3BB69-23CF-44E3-9099-C40C66FF867C}">
                  <a14:compatExt spid="_x0000_s7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43</xdr:row>
          <xdr:rowOff>28575</xdr:rowOff>
        </xdr:from>
        <xdr:to>
          <xdr:col>6</xdr:col>
          <xdr:colOff>514350</xdr:colOff>
          <xdr:row>43</xdr:row>
          <xdr:rowOff>161925</xdr:rowOff>
        </xdr:to>
        <xdr:sp macro="" textlink="">
          <xdr:nvSpPr>
            <xdr:cNvPr id="7004" name="Option Button 1884" hidden="1">
              <a:extLst>
                <a:ext uri="{63B3BB69-23CF-44E3-9099-C40C66FF867C}">
                  <a14:compatExt spid="_x0000_s7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0</xdr:rowOff>
        </xdr:from>
        <xdr:to>
          <xdr:col>7</xdr:col>
          <xdr:colOff>0</xdr:colOff>
          <xdr:row>18</xdr:row>
          <xdr:rowOff>9525</xdr:rowOff>
        </xdr:to>
        <xdr:sp macro="" textlink="">
          <xdr:nvSpPr>
            <xdr:cNvPr id="7035" name="Group Box 1915" hidden="1">
              <a:extLst>
                <a:ext uri="{63B3BB69-23CF-44E3-9099-C40C66FF867C}">
                  <a14:compatExt spid="_x0000_s7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17</xdr:row>
          <xdr:rowOff>0</xdr:rowOff>
        </xdr:from>
        <xdr:to>
          <xdr:col>2</xdr:col>
          <xdr:colOff>533400</xdr:colOff>
          <xdr:row>18</xdr:row>
          <xdr:rowOff>9525</xdr:rowOff>
        </xdr:to>
        <xdr:sp macro="" textlink="">
          <xdr:nvSpPr>
            <xdr:cNvPr id="7036" name="Option Button 1916" hidden="1">
              <a:extLst>
                <a:ext uri="{63B3BB69-23CF-44E3-9099-C40C66FF867C}">
                  <a14:compatExt spid="_x0000_s7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17</xdr:row>
          <xdr:rowOff>9525</xdr:rowOff>
        </xdr:from>
        <xdr:to>
          <xdr:col>3</xdr:col>
          <xdr:colOff>638175</xdr:colOff>
          <xdr:row>18</xdr:row>
          <xdr:rowOff>9525</xdr:rowOff>
        </xdr:to>
        <xdr:sp macro="" textlink="">
          <xdr:nvSpPr>
            <xdr:cNvPr id="7037" name="Option Button 1917" hidden="1">
              <a:extLst>
                <a:ext uri="{63B3BB69-23CF-44E3-9099-C40C66FF867C}">
                  <a14:compatExt spid="_x0000_s7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17</xdr:row>
          <xdr:rowOff>0</xdr:rowOff>
        </xdr:from>
        <xdr:to>
          <xdr:col>4</xdr:col>
          <xdr:colOff>666750</xdr:colOff>
          <xdr:row>18</xdr:row>
          <xdr:rowOff>9525</xdr:rowOff>
        </xdr:to>
        <xdr:sp macro="" textlink="">
          <xdr:nvSpPr>
            <xdr:cNvPr id="7038" name="Option Button 1918" hidden="1">
              <a:extLst>
                <a:ext uri="{63B3BB69-23CF-44E3-9099-C40C66FF867C}">
                  <a14:compatExt spid="_x0000_s7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17</xdr:row>
          <xdr:rowOff>9525</xdr:rowOff>
        </xdr:from>
        <xdr:to>
          <xdr:col>5</xdr:col>
          <xdr:colOff>714375</xdr:colOff>
          <xdr:row>18</xdr:row>
          <xdr:rowOff>9525</xdr:rowOff>
        </xdr:to>
        <xdr:sp macro="" textlink="">
          <xdr:nvSpPr>
            <xdr:cNvPr id="7039" name="Option Button 1919" hidden="1">
              <a:extLst>
                <a:ext uri="{63B3BB69-23CF-44E3-9099-C40C66FF867C}">
                  <a14:compatExt spid="_x0000_s7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17</xdr:row>
          <xdr:rowOff>9525</xdr:rowOff>
        </xdr:from>
        <xdr:to>
          <xdr:col>6</xdr:col>
          <xdr:colOff>628650</xdr:colOff>
          <xdr:row>18</xdr:row>
          <xdr:rowOff>9525</xdr:rowOff>
        </xdr:to>
        <xdr:sp macro="" textlink="">
          <xdr:nvSpPr>
            <xdr:cNvPr id="7040" name="Option Button 1920" hidden="1">
              <a:extLst>
                <a:ext uri="{63B3BB69-23CF-44E3-9099-C40C66FF867C}">
                  <a14:compatExt spid="_x0000_s7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0</xdr:rowOff>
        </xdr:from>
        <xdr:to>
          <xdr:col>7</xdr:col>
          <xdr:colOff>0</xdr:colOff>
          <xdr:row>33</xdr:row>
          <xdr:rowOff>371475</xdr:rowOff>
        </xdr:to>
        <xdr:sp macro="" textlink="">
          <xdr:nvSpPr>
            <xdr:cNvPr id="7041" name="Group Box 1921" hidden="1">
              <a:extLst>
                <a:ext uri="{63B3BB69-23CF-44E3-9099-C40C66FF867C}">
                  <a14:compatExt spid="_x0000_s7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33</xdr:row>
          <xdr:rowOff>95250</xdr:rowOff>
        </xdr:from>
        <xdr:to>
          <xdr:col>2</xdr:col>
          <xdr:colOff>533400</xdr:colOff>
          <xdr:row>33</xdr:row>
          <xdr:rowOff>295275</xdr:rowOff>
        </xdr:to>
        <xdr:sp macro="" textlink="">
          <xdr:nvSpPr>
            <xdr:cNvPr id="7042" name="Option Button 1922" hidden="1">
              <a:extLst>
                <a:ext uri="{63B3BB69-23CF-44E3-9099-C40C66FF867C}">
                  <a14:compatExt spid="_x0000_s7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33</xdr:row>
          <xdr:rowOff>95250</xdr:rowOff>
        </xdr:from>
        <xdr:to>
          <xdr:col>3</xdr:col>
          <xdr:colOff>638175</xdr:colOff>
          <xdr:row>33</xdr:row>
          <xdr:rowOff>285750</xdr:rowOff>
        </xdr:to>
        <xdr:sp macro="" textlink="">
          <xdr:nvSpPr>
            <xdr:cNvPr id="7043" name="Option Button 1923" hidden="1">
              <a:extLst>
                <a:ext uri="{63B3BB69-23CF-44E3-9099-C40C66FF867C}">
                  <a14:compatExt spid="_x0000_s7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33</xdr:row>
          <xdr:rowOff>95250</xdr:rowOff>
        </xdr:from>
        <xdr:to>
          <xdr:col>4</xdr:col>
          <xdr:colOff>657225</xdr:colOff>
          <xdr:row>33</xdr:row>
          <xdr:rowOff>295275</xdr:rowOff>
        </xdr:to>
        <xdr:sp macro="" textlink="">
          <xdr:nvSpPr>
            <xdr:cNvPr id="7044" name="Option Button 1924" hidden="1">
              <a:extLst>
                <a:ext uri="{63B3BB69-23CF-44E3-9099-C40C66FF867C}">
                  <a14:compatExt spid="_x0000_s7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33</xdr:row>
          <xdr:rowOff>95250</xdr:rowOff>
        </xdr:from>
        <xdr:to>
          <xdr:col>5</xdr:col>
          <xdr:colOff>723900</xdr:colOff>
          <xdr:row>33</xdr:row>
          <xdr:rowOff>285750</xdr:rowOff>
        </xdr:to>
        <xdr:sp macro="" textlink="">
          <xdr:nvSpPr>
            <xdr:cNvPr id="7045" name="Option Button 1925" hidden="1">
              <a:extLst>
                <a:ext uri="{63B3BB69-23CF-44E3-9099-C40C66FF867C}">
                  <a14:compatExt spid="_x0000_s7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33</xdr:row>
          <xdr:rowOff>104775</xdr:rowOff>
        </xdr:from>
        <xdr:to>
          <xdr:col>6</xdr:col>
          <xdr:colOff>628650</xdr:colOff>
          <xdr:row>33</xdr:row>
          <xdr:rowOff>295275</xdr:rowOff>
        </xdr:to>
        <xdr:sp macro="" textlink="">
          <xdr:nvSpPr>
            <xdr:cNvPr id="7046" name="Option Button 1926" hidden="1">
              <a:extLst>
                <a:ext uri="{63B3BB69-23CF-44E3-9099-C40C66FF867C}">
                  <a14:compatExt spid="_x0000_s7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7</xdr:col>
          <xdr:colOff>0</xdr:colOff>
          <xdr:row>36</xdr:row>
          <xdr:rowOff>371475</xdr:rowOff>
        </xdr:to>
        <xdr:sp macro="" textlink="">
          <xdr:nvSpPr>
            <xdr:cNvPr id="7053" name="Group Box 1933" hidden="1">
              <a:extLst>
                <a:ext uri="{63B3BB69-23CF-44E3-9099-C40C66FF867C}">
                  <a14:compatExt spid="_x0000_s7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36</xdr:row>
          <xdr:rowOff>95250</xdr:rowOff>
        </xdr:from>
        <xdr:to>
          <xdr:col>2</xdr:col>
          <xdr:colOff>533400</xdr:colOff>
          <xdr:row>36</xdr:row>
          <xdr:rowOff>295275</xdr:rowOff>
        </xdr:to>
        <xdr:sp macro="" textlink="">
          <xdr:nvSpPr>
            <xdr:cNvPr id="7054" name="Option Button 1934" hidden="1">
              <a:extLst>
                <a:ext uri="{63B3BB69-23CF-44E3-9099-C40C66FF867C}">
                  <a14:compatExt spid="_x0000_s7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36</xdr:row>
          <xdr:rowOff>95250</xdr:rowOff>
        </xdr:from>
        <xdr:to>
          <xdr:col>3</xdr:col>
          <xdr:colOff>638175</xdr:colOff>
          <xdr:row>36</xdr:row>
          <xdr:rowOff>285750</xdr:rowOff>
        </xdr:to>
        <xdr:sp macro="" textlink="">
          <xdr:nvSpPr>
            <xdr:cNvPr id="7055" name="Option Button 1935" hidden="1">
              <a:extLst>
                <a:ext uri="{63B3BB69-23CF-44E3-9099-C40C66FF867C}">
                  <a14:compatExt spid="_x0000_s7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36</xdr:row>
          <xdr:rowOff>95250</xdr:rowOff>
        </xdr:from>
        <xdr:to>
          <xdr:col>4</xdr:col>
          <xdr:colOff>657225</xdr:colOff>
          <xdr:row>36</xdr:row>
          <xdr:rowOff>295275</xdr:rowOff>
        </xdr:to>
        <xdr:sp macro="" textlink="">
          <xdr:nvSpPr>
            <xdr:cNvPr id="7056" name="Option Button 1936" hidden="1">
              <a:extLst>
                <a:ext uri="{63B3BB69-23CF-44E3-9099-C40C66FF867C}">
                  <a14:compatExt spid="_x0000_s7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36</xdr:row>
          <xdr:rowOff>95250</xdr:rowOff>
        </xdr:from>
        <xdr:to>
          <xdr:col>5</xdr:col>
          <xdr:colOff>742950</xdr:colOff>
          <xdr:row>36</xdr:row>
          <xdr:rowOff>285750</xdr:rowOff>
        </xdr:to>
        <xdr:sp macro="" textlink="">
          <xdr:nvSpPr>
            <xdr:cNvPr id="7057" name="Option Button 1937" hidden="1">
              <a:extLst>
                <a:ext uri="{63B3BB69-23CF-44E3-9099-C40C66FF867C}">
                  <a14:compatExt spid="_x0000_s7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36</xdr:row>
          <xdr:rowOff>104775</xdr:rowOff>
        </xdr:from>
        <xdr:to>
          <xdr:col>6</xdr:col>
          <xdr:colOff>628650</xdr:colOff>
          <xdr:row>36</xdr:row>
          <xdr:rowOff>295275</xdr:rowOff>
        </xdr:to>
        <xdr:sp macro="" textlink="">
          <xdr:nvSpPr>
            <xdr:cNvPr id="7058" name="Option Button 1938" hidden="1">
              <a:extLst>
                <a:ext uri="{63B3BB69-23CF-44E3-9099-C40C66FF867C}">
                  <a14:compatExt spid="_x0000_s7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7</xdr:col>
          <xdr:colOff>0</xdr:colOff>
          <xdr:row>36</xdr:row>
          <xdr:rowOff>9525</xdr:rowOff>
        </xdr:to>
        <xdr:sp macro="" textlink="">
          <xdr:nvSpPr>
            <xdr:cNvPr id="7059" name="Group Box 1939" hidden="1">
              <a:extLst>
                <a:ext uri="{63B3BB69-23CF-44E3-9099-C40C66FF867C}">
                  <a14:compatExt spid="_x0000_s7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0</xdr:rowOff>
        </xdr:from>
        <xdr:to>
          <xdr:col>7</xdr:col>
          <xdr:colOff>0</xdr:colOff>
          <xdr:row>39</xdr:row>
          <xdr:rowOff>371475</xdr:rowOff>
        </xdr:to>
        <xdr:sp macro="" textlink="">
          <xdr:nvSpPr>
            <xdr:cNvPr id="7065" name="Group Box 1945" hidden="1">
              <a:extLst>
                <a:ext uri="{63B3BB69-23CF-44E3-9099-C40C66FF867C}">
                  <a14:compatExt spid="_x0000_s7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39</xdr:row>
          <xdr:rowOff>95250</xdr:rowOff>
        </xdr:from>
        <xdr:to>
          <xdr:col>2</xdr:col>
          <xdr:colOff>533400</xdr:colOff>
          <xdr:row>39</xdr:row>
          <xdr:rowOff>295275</xdr:rowOff>
        </xdr:to>
        <xdr:sp macro="" textlink="">
          <xdr:nvSpPr>
            <xdr:cNvPr id="7066" name="Option Button 1946" hidden="1">
              <a:extLst>
                <a:ext uri="{63B3BB69-23CF-44E3-9099-C40C66FF867C}">
                  <a14:compatExt spid="_x0000_s7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39</xdr:row>
          <xdr:rowOff>95250</xdr:rowOff>
        </xdr:from>
        <xdr:to>
          <xdr:col>3</xdr:col>
          <xdr:colOff>638175</xdr:colOff>
          <xdr:row>39</xdr:row>
          <xdr:rowOff>285750</xdr:rowOff>
        </xdr:to>
        <xdr:sp macro="" textlink="">
          <xdr:nvSpPr>
            <xdr:cNvPr id="7067" name="Option Button 1947" hidden="1">
              <a:extLst>
                <a:ext uri="{63B3BB69-23CF-44E3-9099-C40C66FF867C}">
                  <a14:compatExt spid="_x0000_s7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39</xdr:row>
          <xdr:rowOff>95250</xdr:rowOff>
        </xdr:from>
        <xdr:to>
          <xdr:col>4</xdr:col>
          <xdr:colOff>657225</xdr:colOff>
          <xdr:row>39</xdr:row>
          <xdr:rowOff>295275</xdr:rowOff>
        </xdr:to>
        <xdr:sp macro="" textlink="">
          <xdr:nvSpPr>
            <xdr:cNvPr id="7068" name="Option Button 1948" hidden="1">
              <a:extLst>
                <a:ext uri="{63B3BB69-23CF-44E3-9099-C40C66FF867C}">
                  <a14:compatExt spid="_x0000_s7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39</xdr:row>
          <xdr:rowOff>95250</xdr:rowOff>
        </xdr:from>
        <xdr:to>
          <xdr:col>5</xdr:col>
          <xdr:colOff>752475</xdr:colOff>
          <xdr:row>39</xdr:row>
          <xdr:rowOff>285750</xdr:rowOff>
        </xdr:to>
        <xdr:sp macro="" textlink="">
          <xdr:nvSpPr>
            <xdr:cNvPr id="7069" name="Option Button 1949" hidden="1">
              <a:extLst>
                <a:ext uri="{63B3BB69-23CF-44E3-9099-C40C66FF867C}">
                  <a14:compatExt spid="_x0000_s7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39</xdr:row>
          <xdr:rowOff>104775</xdr:rowOff>
        </xdr:from>
        <xdr:to>
          <xdr:col>6</xdr:col>
          <xdr:colOff>628650</xdr:colOff>
          <xdr:row>39</xdr:row>
          <xdr:rowOff>295275</xdr:rowOff>
        </xdr:to>
        <xdr:sp macro="" textlink="">
          <xdr:nvSpPr>
            <xdr:cNvPr id="7070" name="Option Button 1950" hidden="1">
              <a:extLst>
                <a:ext uri="{63B3BB69-23CF-44E3-9099-C40C66FF867C}">
                  <a14:compatExt spid="_x0000_s7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42</xdr:row>
          <xdr:rowOff>0</xdr:rowOff>
        </xdr:from>
        <xdr:to>
          <xdr:col>7</xdr:col>
          <xdr:colOff>0</xdr:colOff>
          <xdr:row>42</xdr:row>
          <xdr:rowOff>371475</xdr:rowOff>
        </xdr:to>
        <xdr:sp macro="" textlink="">
          <xdr:nvSpPr>
            <xdr:cNvPr id="7077" name="Group Box 1957" hidden="1">
              <a:extLst>
                <a:ext uri="{63B3BB69-23CF-44E3-9099-C40C66FF867C}">
                  <a14:compatExt spid="_x0000_s7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42</xdr:row>
          <xdr:rowOff>95250</xdr:rowOff>
        </xdr:from>
        <xdr:to>
          <xdr:col>2</xdr:col>
          <xdr:colOff>533400</xdr:colOff>
          <xdr:row>42</xdr:row>
          <xdr:rowOff>295275</xdr:rowOff>
        </xdr:to>
        <xdr:sp macro="" textlink="">
          <xdr:nvSpPr>
            <xdr:cNvPr id="7078" name="Option Button 1958" hidden="1">
              <a:extLst>
                <a:ext uri="{63B3BB69-23CF-44E3-9099-C40C66FF867C}">
                  <a14:compatExt spid="_x0000_s7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42</xdr:row>
          <xdr:rowOff>95250</xdr:rowOff>
        </xdr:from>
        <xdr:to>
          <xdr:col>3</xdr:col>
          <xdr:colOff>638175</xdr:colOff>
          <xdr:row>42</xdr:row>
          <xdr:rowOff>285750</xdr:rowOff>
        </xdr:to>
        <xdr:sp macro="" textlink="">
          <xdr:nvSpPr>
            <xdr:cNvPr id="7079" name="Option Button 1959" hidden="1">
              <a:extLst>
                <a:ext uri="{63B3BB69-23CF-44E3-9099-C40C66FF867C}">
                  <a14:compatExt spid="_x0000_s7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42</xdr:row>
          <xdr:rowOff>95250</xdr:rowOff>
        </xdr:from>
        <xdr:to>
          <xdr:col>4</xdr:col>
          <xdr:colOff>657225</xdr:colOff>
          <xdr:row>42</xdr:row>
          <xdr:rowOff>295275</xdr:rowOff>
        </xdr:to>
        <xdr:sp macro="" textlink="">
          <xdr:nvSpPr>
            <xdr:cNvPr id="7080" name="Option Button 1960" hidden="1">
              <a:extLst>
                <a:ext uri="{63B3BB69-23CF-44E3-9099-C40C66FF867C}">
                  <a14:compatExt spid="_x0000_s7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42</xdr:row>
          <xdr:rowOff>95250</xdr:rowOff>
        </xdr:from>
        <xdr:to>
          <xdr:col>5</xdr:col>
          <xdr:colOff>742950</xdr:colOff>
          <xdr:row>42</xdr:row>
          <xdr:rowOff>285750</xdr:rowOff>
        </xdr:to>
        <xdr:sp macro="" textlink="">
          <xdr:nvSpPr>
            <xdr:cNvPr id="7081" name="Option Button 1961" hidden="1">
              <a:extLst>
                <a:ext uri="{63B3BB69-23CF-44E3-9099-C40C66FF867C}">
                  <a14:compatExt spid="_x0000_s7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42</xdr:row>
          <xdr:rowOff>104775</xdr:rowOff>
        </xdr:from>
        <xdr:to>
          <xdr:col>6</xdr:col>
          <xdr:colOff>628650</xdr:colOff>
          <xdr:row>42</xdr:row>
          <xdr:rowOff>295275</xdr:rowOff>
        </xdr:to>
        <xdr:sp macro="" textlink="">
          <xdr:nvSpPr>
            <xdr:cNvPr id="7082" name="Option Button 1962" hidden="1">
              <a:extLst>
                <a:ext uri="{63B3BB69-23CF-44E3-9099-C40C66FF867C}">
                  <a14:compatExt spid="_x0000_s7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41</xdr:row>
          <xdr:rowOff>0</xdr:rowOff>
        </xdr:from>
        <xdr:to>
          <xdr:col>7</xdr:col>
          <xdr:colOff>0</xdr:colOff>
          <xdr:row>42</xdr:row>
          <xdr:rowOff>9525</xdr:rowOff>
        </xdr:to>
        <xdr:sp macro="" textlink="">
          <xdr:nvSpPr>
            <xdr:cNvPr id="7083" name="Group Box 1963" hidden="1">
              <a:extLst>
                <a:ext uri="{63B3BB69-23CF-44E3-9099-C40C66FF867C}">
                  <a14:compatExt spid="_x0000_s7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44</xdr:row>
          <xdr:rowOff>0</xdr:rowOff>
        </xdr:from>
        <xdr:to>
          <xdr:col>7</xdr:col>
          <xdr:colOff>0</xdr:colOff>
          <xdr:row>44</xdr:row>
          <xdr:rowOff>180975</xdr:rowOff>
        </xdr:to>
        <xdr:sp macro="" textlink="">
          <xdr:nvSpPr>
            <xdr:cNvPr id="7101" name="Group Box 1981" hidden="1">
              <a:extLst>
                <a:ext uri="{63B3BB69-23CF-44E3-9099-C40C66FF867C}">
                  <a14:compatExt spid="_x0000_s7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44</xdr:row>
          <xdr:rowOff>19050</xdr:rowOff>
        </xdr:from>
        <xdr:to>
          <xdr:col>2</xdr:col>
          <xdr:colOff>485775</xdr:colOff>
          <xdr:row>44</xdr:row>
          <xdr:rowOff>171450</xdr:rowOff>
        </xdr:to>
        <xdr:sp macro="" textlink="">
          <xdr:nvSpPr>
            <xdr:cNvPr id="7102" name="Option Button 1982" hidden="1">
              <a:extLst>
                <a:ext uri="{63B3BB69-23CF-44E3-9099-C40C66FF867C}">
                  <a14:compatExt spid="_x0000_s7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44</xdr:row>
          <xdr:rowOff>19050</xdr:rowOff>
        </xdr:from>
        <xdr:to>
          <xdr:col>3</xdr:col>
          <xdr:colOff>542925</xdr:colOff>
          <xdr:row>44</xdr:row>
          <xdr:rowOff>180975</xdr:rowOff>
        </xdr:to>
        <xdr:sp macro="" textlink="">
          <xdr:nvSpPr>
            <xdr:cNvPr id="7103" name="Option Button 1983" hidden="1">
              <a:extLst>
                <a:ext uri="{63B3BB69-23CF-44E3-9099-C40C66FF867C}">
                  <a14:compatExt spid="_x0000_s7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44</xdr:row>
          <xdr:rowOff>28575</xdr:rowOff>
        </xdr:from>
        <xdr:to>
          <xdr:col>4</xdr:col>
          <xdr:colOff>571500</xdr:colOff>
          <xdr:row>44</xdr:row>
          <xdr:rowOff>161925</xdr:rowOff>
        </xdr:to>
        <xdr:sp macro="" textlink="">
          <xdr:nvSpPr>
            <xdr:cNvPr id="7104" name="Option Button 1984" hidden="1">
              <a:extLst>
                <a:ext uri="{63B3BB69-23CF-44E3-9099-C40C66FF867C}">
                  <a14:compatExt spid="_x0000_s7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44</xdr:row>
          <xdr:rowOff>19050</xdr:rowOff>
        </xdr:from>
        <xdr:to>
          <xdr:col>5</xdr:col>
          <xdr:colOff>666750</xdr:colOff>
          <xdr:row>44</xdr:row>
          <xdr:rowOff>161925</xdr:rowOff>
        </xdr:to>
        <xdr:sp macro="" textlink="">
          <xdr:nvSpPr>
            <xdr:cNvPr id="7105" name="Option Button 1985" hidden="1">
              <a:extLst>
                <a:ext uri="{63B3BB69-23CF-44E3-9099-C40C66FF867C}">
                  <a14:compatExt spid="_x0000_s7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44</xdr:row>
          <xdr:rowOff>28575</xdr:rowOff>
        </xdr:from>
        <xdr:to>
          <xdr:col>6</xdr:col>
          <xdr:colOff>514350</xdr:colOff>
          <xdr:row>44</xdr:row>
          <xdr:rowOff>161925</xdr:rowOff>
        </xdr:to>
        <xdr:sp macro="" textlink="">
          <xdr:nvSpPr>
            <xdr:cNvPr id="7106" name="Option Button 1986" hidden="1">
              <a:extLst>
                <a:ext uri="{63B3BB69-23CF-44E3-9099-C40C66FF867C}">
                  <a14:compatExt spid="_x0000_s7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0</xdr:rowOff>
        </xdr:from>
        <xdr:to>
          <xdr:col>7</xdr:col>
          <xdr:colOff>0</xdr:colOff>
          <xdr:row>11</xdr:row>
          <xdr:rowOff>9525</xdr:rowOff>
        </xdr:to>
        <xdr:sp macro="" textlink="">
          <xdr:nvSpPr>
            <xdr:cNvPr id="7108" name="Group Box 1988" hidden="1">
              <a:extLst>
                <a:ext uri="{63B3BB69-23CF-44E3-9099-C40C66FF867C}">
                  <a14:compatExt spid="_x0000_s7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10</xdr:row>
          <xdr:rowOff>0</xdr:rowOff>
        </xdr:from>
        <xdr:to>
          <xdr:col>2</xdr:col>
          <xdr:colOff>533400</xdr:colOff>
          <xdr:row>11</xdr:row>
          <xdr:rowOff>9525</xdr:rowOff>
        </xdr:to>
        <xdr:sp macro="" textlink="">
          <xdr:nvSpPr>
            <xdr:cNvPr id="7109" name="Option Button 1989" hidden="1">
              <a:extLst>
                <a:ext uri="{63B3BB69-23CF-44E3-9099-C40C66FF867C}">
                  <a14:compatExt spid="_x0000_s7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10</xdr:row>
          <xdr:rowOff>9525</xdr:rowOff>
        </xdr:from>
        <xdr:to>
          <xdr:col>3</xdr:col>
          <xdr:colOff>638175</xdr:colOff>
          <xdr:row>11</xdr:row>
          <xdr:rowOff>9525</xdr:rowOff>
        </xdr:to>
        <xdr:sp macro="" textlink="">
          <xdr:nvSpPr>
            <xdr:cNvPr id="7110" name="Option Button 1990" hidden="1">
              <a:extLst>
                <a:ext uri="{63B3BB69-23CF-44E3-9099-C40C66FF867C}">
                  <a14:compatExt spid="_x0000_s7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10</xdr:row>
          <xdr:rowOff>0</xdr:rowOff>
        </xdr:from>
        <xdr:to>
          <xdr:col>4</xdr:col>
          <xdr:colOff>657225</xdr:colOff>
          <xdr:row>11</xdr:row>
          <xdr:rowOff>9525</xdr:rowOff>
        </xdr:to>
        <xdr:sp macro="" textlink="">
          <xdr:nvSpPr>
            <xdr:cNvPr id="7111" name="Option Button 1991" hidden="1">
              <a:extLst>
                <a:ext uri="{63B3BB69-23CF-44E3-9099-C40C66FF867C}">
                  <a14:compatExt spid="_x0000_s7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10</xdr:row>
          <xdr:rowOff>9525</xdr:rowOff>
        </xdr:from>
        <xdr:to>
          <xdr:col>5</xdr:col>
          <xdr:colOff>714375</xdr:colOff>
          <xdr:row>11</xdr:row>
          <xdr:rowOff>9525</xdr:rowOff>
        </xdr:to>
        <xdr:sp macro="" textlink="">
          <xdr:nvSpPr>
            <xdr:cNvPr id="7112" name="Option Button 1992" hidden="1">
              <a:extLst>
                <a:ext uri="{63B3BB69-23CF-44E3-9099-C40C66FF867C}">
                  <a14:compatExt spid="_x0000_s7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10</xdr:row>
          <xdr:rowOff>9525</xdr:rowOff>
        </xdr:from>
        <xdr:to>
          <xdr:col>6</xdr:col>
          <xdr:colOff>628650</xdr:colOff>
          <xdr:row>11</xdr:row>
          <xdr:rowOff>9525</xdr:rowOff>
        </xdr:to>
        <xdr:sp macro="" textlink="">
          <xdr:nvSpPr>
            <xdr:cNvPr id="7113" name="Option Button 1993" hidden="1">
              <a:extLst>
                <a:ext uri="{63B3BB69-23CF-44E3-9099-C40C66FF867C}">
                  <a14:compatExt spid="_x0000_s7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0</xdr:rowOff>
        </xdr:from>
        <xdr:to>
          <xdr:col>7</xdr:col>
          <xdr:colOff>0</xdr:colOff>
          <xdr:row>16</xdr:row>
          <xdr:rowOff>9525</xdr:rowOff>
        </xdr:to>
        <xdr:sp macro="" textlink="">
          <xdr:nvSpPr>
            <xdr:cNvPr id="7126" name="Group Box 2006" hidden="1">
              <a:extLst>
                <a:ext uri="{63B3BB69-23CF-44E3-9099-C40C66FF867C}">
                  <a14:compatExt spid="_x0000_s7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15</xdr:row>
          <xdr:rowOff>0</xdr:rowOff>
        </xdr:from>
        <xdr:to>
          <xdr:col>2</xdr:col>
          <xdr:colOff>533400</xdr:colOff>
          <xdr:row>16</xdr:row>
          <xdr:rowOff>9525</xdr:rowOff>
        </xdr:to>
        <xdr:sp macro="" textlink="">
          <xdr:nvSpPr>
            <xdr:cNvPr id="7127" name="Option Button 2007" hidden="1">
              <a:extLst>
                <a:ext uri="{63B3BB69-23CF-44E3-9099-C40C66FF867C}">
                  <a14:compatExt spid="_x0000_s7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15</xdr:row>
          <xdr:rowOff>9525</xdr:rowOff>
        </xdr:from>
        <xdr:to>
          <xdr:col>3</xdr:col>
          <xdr:colOff>638175</xdr:colOff>
          <xdr:row>16</xdr:row>
          <xdr:rowOff>9525</xdr:rowOff>
        </xdr:to>
        <xdr:sp macro="" textlink="">
          <xdr:nvSpPr>
            <xdr:cNvPr id="7128" name="Option Button 2008" hidden="1">
              <a:extLst>
                <a:ext uri="{63B3BB69-23CF-44E3-9099-C40C66FF867C}">
                  <a14:compatExt spid="_x0000_s7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15</xdr:row>
          <xdr:rowOff>0</xdr:rowOff>
        </xdr:from>
        <xdr:to>
          <xdr:col>4</xdr:col>
          <xdr:colOff>666750</xdr:colOff>
          <xdr:row>16</xdr:row>
          <xdr:rowOff>9525</xdr:rowOff>
        </xdr:to>
        <xdr:sp macro="" textlink="">
          <xdr:nvSpPr>
            <xdr:cNvPr id="7129" name="Option Button 2009" hidden="1">
              <a:extLst>
                <a:ext uri="{63B3BB69-23CF-44E3-9099-C40C66FF867C}">
                  <a14:compatExt spid="_x0000_s7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15</xdr:row>
          <xdr:rowOff>9525</xdr:rowOff>
        </xdr:from>
        <xdr:to>
          <xdr:col>5</xdr:col>
          <xdr:colOff>714375</xdr:colOff>
          <xdr:row>16</xdr:row>
          <xdr:rowOff>9525</xdr:rowOff>
        </xdr:to>
        <xdr:sp macro="" textlink="">
          <xdr:nvSpPr>
            <xdr:cNvPr id="7130" name="Option Button 2010" hidden="1">
              <a:extLst>
                <a:ext uri="{63B3BB69-23CF-44E3-9099-C40C66FF867C}">
                  <a14:compatExt spid="_x0000_s7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15</xdr:row>
          <xdr:rowOff>9525</xdr:rowOff>
        </xdr:from>
        <xdr:to>
          <xdr:col>6</xdr:col>
          <xdr:colOff>628650</xdr:colOff>
          <xdr:row>16</xdr:row>
          <xdr:rowOff>9525</xdr:rowOff>
        </xdr:to>
        <xdr:sp macro="" textlink="">
          <xdr:nvSpPr>
            <xdr:cNvPr id="7131" name="Option Button 2011" hidden="1">
              <a:extLst>
                <a:ext uri="{63B3BB69-23CF-44E3-9099-C40C66FF867C}">
                  <a14:compatExt spid="_x0000_s7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0</xdr:rowOff>
        </xdr:from>
        <xdr:to>
          <xdr:col>7</xdr:col>
          <xdr:colOff>0</xdr:colOff>
          <xdr:row>24</xdr:row>
          <xdr:rowOff>371475</xdr:rowOff>
        </xdr:to>
        <xdr:sp macro="" textlink="">
          <xdr:nvSpPr>
            <xdr:cNvPr id="7138" name="Group Box 2018" hidden="1">
              <a:extLst>
                <a:ext uri="{63B3BB69-23CF-44E3-9099-C40C66FF867C}">
                  <a14:compatExt spid="_x0000_s7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24</xdr:row>
          <xdr:rowOff>95250</xdr:rowOff>
        </xdr:from>
        <xdr:to>
          <xdr:col>2</xdr:col>
          <xdr:colOff>533400</xdr:colOff>
          <xdr:row>24</xdr:row>
          <xdr:rowOff>295275</xdr:rowOff>
        </xdr:to>
        <xdr:sp macro="" textlink="">
          <xdr:nvSpPr>
            <xdr:cNvPr id="7139" name="Option Button 2019" hidden="1">
              <a:extLst>
                <a:ext uri="{63B3BB69-23CF-44E3-9099-C40C66FF867C}">
                  <a14:compatExt spid="_x0000_s7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24</xdr:row>
          <xdr:rowOff>95250</xdr:rowOff>
        </xdr:from>
        <xdr:to>
          <xdr:col>3</xdr:col>
          <xdr:colOff>638175</xdr:colOff>
          <xdr:row>24</xdr:row>
          <xdr:rowOff>285750</xdr:rowOff>
        </xdr:to>
        <xdr:sp macro="" textlink="">
          <xdr:nvSpPr>
            <xdr:cNvPr id="7140" name="Option Button 2020" hidden="1">
              <a:extLst>
                <a:ext uri="{63B3BB69-23CF-44E3-9099-C40C66FF867C}">
                  <a14:compatExt spid="_x0000_s7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24</xdr:row>
          <xdr:rowOff>95250</xdr:rowOff>
        </xdr:from>
        <xdr:to>
          <xdr:col>4</xdr:col>
          <xdr:colOff>657225</xdr:colOff>
          <xdr:row>24</xdr:row>
          <xdr:rowOff>295275</xdr:rowOff>
        </xdr:to>
        <xdr:sp macro="" textlink="">
          <xdr:nvSpPr>
            <xdr:cNvPr id="7141" name="Option Button 2021" hidden="1">
              <a:extLst>
                <a:ext uri="{63B3BB69-23CF-44E3-9099-C40C66FF867C}">
                  <a14:compatExt spid="_x0000_s7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24</xdr:row>
          <xdr:rowOff>95250</xdr:rowOff>
        </xdr:from>
        <xdr:to>
          <xdr:col>5</xdr:col>
          <xdr:colOff>723900</xdr:colOff>
          <xdr:row>24</xdr:row>
          <xdr:rowOff>285750</xdr:rowOff>
        </xdr:to>
        <xdr:sp macro="" textlink="">
          <xdr:nvSpPr>
            <xdr:cNvPr id="7142" name="Option Button 2022" hidden="1">
              <a:extLst>
                <a:ext uri="{63B3BB69-23CF-44E3-9099-C40C66FF867C}">
                  <a14:compatExt spid="_x0000_s7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24</xdr:row>
          <xdr:rowOff>104775</xdr:rowOff>
        </xdr:from>
        <xdr:to>
          <xdr:col>6</xdr:col>
          <xdr:colOff>628650</xdr:colOff>
          <xdr:row>24</xdr:row>
          <xdr:rowOff>295275</xdr:rowOff>
        </xdr:to>
        <xdr:sp macro="" textlink="">
          <xdr:nvSpPr>
            <xdr:cNvPr id="7143" name="Option Button 2023" hidden="1">
              <a:extLst>
                <a:ext uri="{63B3BB69-23CF-44E3-9099-C40C66FF867C}">
                  <a14:compatExt spid="_x0000_s7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0</xdr:rowOff>
        </xdr:from>
        <xdr:to>
          <xdr:col>7</xdr:col>
          <xdr:colOff>0</xdr:colOff>
          <xdr:row>25</xdr:row>
          <xdr:rowOff>180975</xdr:rowOff>
        </xdr:to>
        <xdr:sp macro="" textlink="">
          <xdr:nvSpPr>
            <xdr:cNvPr id="7157" name="Group Box 2037" hidden="1">
              <a:extLst>
                <a:ext uri="{63B3BB69-23CF-44E3-9099-C40C66FF867C}">
                  <a14:compatExt spid="_x0000_s7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25</xdr:row>
          <xdr:rowOff>19050</xdr:rowOff>
        </xdr:from>
        <xdr:to>
          <xdr:col>2</xdr:col>
          <xdr:colOff>485775</xdr:colOff>
          <xdr:row>25</xdr:row>
          <xdr:rowOff>171450</xdr:rowOff>
        </xdr:to>
        <xdr:sp macro="" textlink="">
          <xdr:nvSpPr>
            <xdr:cNvPr id="7158" name="Option Button 2038" hidden="1">
              <a:extLst>
                <a:ext uri="{63B3BB69-23CF-44E3-9099-C40C66FF867C}">
                  <a14:compatExt spid="_x0000_s7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25</xdr:row>
          <xdr:rowOff>19050</xdr:rowOff>
        </xdr:from>
        <xdr:to>
          <xdr:col>3</xdr:col>
          <xdr:colOff>542925</xdr:colOff>
          <xdr:row>25</xdr:row>
          <xdr:rowOff>180975</xdr:rowOff>
        </xdr:to>
        <xdr:sp macro="" textlink="">
          <xdr:nvSpPr>
            <xdr:cNvPr id="7159" name="Option Button 2039" hidden="1">
              <a:extLst>
                <a:ext uri="{63B3BB69-23CF-44E3-9099-C40C66FF867C}">
                  <a14:compatExt spid="_x0000_s7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25</xdr:row>
          <xdr:rowOff>28575</xdr:rowOff>
        </xdr:from>
        <xdr:to>
          <xdr:col>4</xdr:col>
          <xdr:colOff>571500</xdr:colOff>
          <xdr:row>25</xdr:row>
          <xdr:rowOff>161925</xdr:rowOff>
        </xdr:to>
        <xdr:sp macro="" textlink="">
          <xdr:nvSpPr>
            <xdr:cNvPr id="7160" name="Option Button 2040" hidden="1">
              <a:extLst>
                <a:ext uri="{63B3BB69-23CF-44E3-9099-C40C66FF867C}">
                  <a14:compatExt spid="_x0000_s7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25</xdr:row>
          <xdr:rowOff>19050</xdr:rowOff>
        </xdr:from>
        <xdr:to>
          <xdr:col>5</xdr:col>
          <xdr:colOff>647700</xdr:colOff>
          <xdr:row>25</xdr:row>
          <xdr:rowOff>161925</xdr:rowOff>
        </xdr:to>
        <xdr:sp macro="" textlink="">
          <xdr:nvSpPr>
            <xdr:cNvPr id="7161" name="Option Button 2041" hidden="1">
              <a:extLst>
                <a:ext uri="{63B3BB69-23CF-44E3-9099-C40C66FF867C}">
                  <a14:compatExt spid="_x0000_s7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25</xdr:row>
          <xdr:rowOff>28575</xdr:rowOff>
        </xdr:from>
        <xdr:to>
          <xdr:col>6</xdr:col>
          <xdr:colOff>495300</xdr:colOff>
          <xdr:row>25</xdr:row>
          <xdr:rowOff>161925</xdr:rowOff>
        </xdr:to>
        <xdr:sp macro="" textlink="">
          <xdr:nvSpPr>
            <xdr:cNvPr id="7162" name="Option Button 2042" hidden="1">
              <a:extLst>
                <a:ext uri="{63B3BB69-23CF-44E3-9099-C40C66FF867C}">
                  <a14:compatExt spid="_x0000_s7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0</xdr:rowOff>
        </xdr:from>
        <xdr:to>
          <xdr:col>7</xdr:col>
          <xdr:colOff>0</xdr:colOff>
          <xdr:row>26</xdr:row>
          <xdr:rowOff>180975</xdr:rowOff>
        </xdr:to>
        <xdr:sp macro="" textlink="">
          <xdr:nvSpPr>
            <xdr:cNvPr id="7163" name="Group Box 2043" hidden="1">
              <a:extLst>
                <a:ext uri="{63B3BB69-23CF-44E3-9099-C40C66FF867C}">
                  <a14:compatExt spid="_x0000_s7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26</xdr:row>
          <xdr:rowOff>19050</xdr:rowOff>
        </xdr:from>
        <xdr:to>
          <xdr:col>2</xdr:col>
          <xdr:colOff>485775</xdr:colOff>
          <xdr:row>26</xdr:row>
          <xdr:rowOff>171450</xdr:rowOff>
        </xdr:to>
        <xdr:sp macro="" textlink="">
          <xdr:nvSpPr>
            <xdr:cNvPr id="7164" name="Option Button 2044" hidden="1">
              <a:extLst>
                <a:ext uri="{63B3BB69-23CF-44E3-9099-C40C66FF867C}">
                  <a14:compatExt spid="_x0000_s7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26</xdr:row>
          <xdr:rowOff>19050</xdr:rowOff>
        </xdr:from>
        <xdr:to>
          <xdr:col>3</xdr:col>
          <xdr:colOff>542925</xdr:colOff>
          <xdr:row>26</xdr:row>
          <xdr:rowOff>180975</xdr:rowOff>
        </xdr:to>
        <xdr:sp macro="" textlink="">
          <xdr:nvSpPr>
            <xdr:cNvPr id="7165" name="Option Button 2045" hidden="1">
              <a:extLst>
                <a:ext uri="{63B3BB69-23CF-44E3-9099-C40C66FF867C}">
                  <a14:compatExt spid="_x0000_s7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26</xdr:row>
          <xdr:rowOff>28575</xdr:rowOff>
        </xdr:from>
        <xdr:to>
          <xdr:col>4</xdr:col>
          <xdr:colOff>571500</xdr:colOff>
          <xdr:row>26</xdr:row>
          <xdr:rowOff>161925</xdr:rowOff>
        </xdr:to>
        <xdr:sp macro="" textlink="">
          <xdr:nvSpPr>
            <xdr:cNvPr id="7166" name="Option Button 2046" hidden="1">
              <a:extLst>
                <a:ext uri="{63B3BB69-23CF-44E3-9099-C40C66FF867C}">
                  <a14:compatExt spid="_x0000_s7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26</xdr:row>
          <xdr:rowOff>19050</xdr:rowOff>
        </xdr:from>
        <xdr:to>
          <xdr:col>5</xdr:col>
          <xdr:colOff>647700</xdr:colOff>
          <xdr:row>26</xdr:row>
          <xdr:rowOff>161925</xdr:rowOff>
        </xdr:to>
        <xdr:sp macro="" textlink="">
          <xdr:nvSpPr>
            <xdr:cNvPr id="7167" name="Option Button 2047" hidden="1">
              <a:extLst>
                <a:ext uri="{63B3BB69-23CF-44E3-9099-C40C66FF867C}">
                  <a14:compatExt spid="_x0000_s7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26</xdr:row>
          <xdr:rowOff>28575</xdr:rowOff>
        </xdr:from>
        <xdr:to>
          <xdr:col>6</xdr:col>
          <xdr:colOff>495300</xdr:colOff>
          <xdr:row>26</xdr:row>
          <xdr:rowOff>161925</xdr:rowOff>
        </xdr:to>
        <xdr:sp macro="" textlink="">
          <xdr:nvSpPr>
            <xdr:cNvPr id="12288" name="Option Button 2048" hidden="1">
              <a:extLst>
                <a:ext uri="{63B3BB69-23CF-44E3-9099-C40C66FF867C}">
                  <a14:compatExt spid="_x0000_s12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0</xdr:rowOff>
        </xdr:from>
        <xdr:to>
          <xdr:col>7</xdr:col>
          <xdr:colOff>0</xdr:colOff>
          <xdr:row>27</xdr:row>
          <xdr:rowOff>371475</xdr:rowOff>
        </xdr:to>
        <xdr:sp macro="" textlink="">
          <xdr:nvSpPr>
            <xdr:cNvPr id="12289" name="Group Box 2049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27</xdr:row>
          <xdr:rowOff>95250</xdr:rowOff>
        </xdr:from>
        <xdr:to>
          <xdr:col>2</xdr:col>
          <xdr:colOff>533400</xdr:colOff>
          <xdr:row>27</xdr:row>
          <xdr:rowOff>295275</xdr:rowOff>
        </xdr:to>
        <xdr:sp macro="" textlink="">
          <xdr:nvSpPr>
            <xdr:cNvPr id="12290" name="Option Button 2050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27</xdr:row>
          <xdr:rowOff>95250</xdr:rowOff>
        </xdr:from>
        <xdr:to>
          <xdr:col>3</xdr:col>
          <xdr:colOff>638175</xdr:colOff>
          <xdr:row>27</xdr:row>
          <xdr:rowOff>285750</xdr:rowOff>
        </xdr:to>
        <xdr:sp macro="" textlink="">
          <xdr:nvSpPr>
            <xdr:cNvPr id="12291" name="Option Button 2051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27</xdr:row>
          <xdr:rowOff>95250</xdr:rowOff>
        </xdr:from>
        <xdr:to>
          <xdr:col>4</xdr:col>
          <xdr:colOff>657225</xdr:colOff>
          <xdr:row>27</xdr:row>
          <xdr:rowOff>295275</xdr:rowOff>
        </xdr:to>
        <xdr:sp macro="" textlink="">
          <xdr:nvSpPr>
            <xdr:cNvPr id="12292" name="Option Button 2052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27</xdr:row>
          <xdr:rowOff>95250</xdr:rowOff>
        </xdr:from>
        <xdr:to>
          <xdr:col>5</xdr:col>
          <xdr:colOff>723900</xdr:colOff>
          <xdr:row>27</xdr:row>
          <xdr:rowOff>285750</xdr:rowOff>
        </xdr:to>
        <xdr:sp macro="" textlink="">
          <xdr:nvSpPr>
            <xdr:cNvPr id="12293" name="Option Button 2053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27</xdr:row>
          <xdr:rowOff>104775</xdr:rowOff>
        </xdr:from>
        <xdr:to>
          <xdr:col>6</xdr:col>
          <xdr:colOff>628650</xdr:colOff>
          <xdr:row>27</xdr:row>
          <xdr:rowOff>295275</xdr:rowOff>
        </xdr:to>
        <xdr:sp macro="" textlink="">
          <xdr:nvSpPr>
            <xdr:cNvPr id="12294" name="Option Button 205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0</xdr:rowOff>
        </xdr:from>
        <xdr:to>
          <xdr:col>7</xdr:col>
          <xdr:colOff>0</xdr:colOff>
          <xdr:row>28</xdr:row>
          <xdr:rowOff>180975</xdr:rowOff>
        </xdr:to>
        <xdr:sp macro="" textlink="">
          <xdr:nvSpPr>
            <xdr:cNvPr id="12295" name="Group Box 205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28</xdr:row>
          <xdr:rowOff>19050</xdr:rowOff>
        </xdr:from>
        <xdr:to>
          <xdr:col>2</xdr:col>
          <xdr:colOff>485775</xdr:colOff>
          <xdr:row>28</xdr:row>
          <xdr:rowOff>171450</xdr:rowOff>
        </xdr:to>
        <xdr:sp macro="" textlink="">
          <xdr:nvSpPr>
            <xdr:cNvPr id="12296" name="Option Button 205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28</xdr:row>
          <xdr:rowOff>19050</xdr:rowOff>
        </xdr:from>
        <xdr:to>
          <xdr:col>3</xdr:col>
          <xdr:colOff>542925</xdr:colOff>
          <xdr:row>28</xdr:row>
          <xdr:rowOff>180975</xdr:rowOff>
        </xdr:to>
        <xdr:sp macro="" textlink="">
          <xdr:nvSpPr>
            <xdr:cNvPr id="12297" name="Option Button 2057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28</xdr:row>
          <xdr:rowOff>28575</xdr:rowOff>
        </xdr:from>
        <xdr:to>
          <xdr:col>4</xdr:col>
          <xdr:colOff>571500</xdr:colOff>
          <xdr:row>28</xdr:row>
          <xdr:rowOff>161925</xdr:rowOff>
        </xdr:to>
        <xdr:sp macro="" textlink="">
          <xdr:nvSpPr>
            <xdr:cNvPr id="12298" name="Option Button 2058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28</xdr:row>
          <xdr:rowOff>19050</xdr:rowOff>
        </xdr:from>
        <xdr:to>
          <xdr:col>5</xdr:col>
          <xdr:colOff>647700</xdr:colOff>
          <xdr:row>28</xdr:row>
          <xdr:rowOff>161925</xdr:rowOff>
        </xdr:to>
        <xdr:sp macro="" textlink="">
          <xdr:nvSpPr>
            <xdr:cNvPr id="12299" name="Option Button 2059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28</xdr:row>
          <xdr:rowOff>28575</xdr:rowOff>
        </xdr:from>
        <xdr:to>
          <xdr:col>6</xdr:col>
          <xdr:colOff>495300</xdr:colOff>
          <xdr:row>28</xdr:row>
          <xdr:rowOff>161925</xdr:rowOff>
        </xdr:to>
        <xdr:sp macro="" textlink="">
          <xdr:nvSpPr>
            <xdr:cNvPr id="12300" name="Option Button 2060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0</xdr:rowOff>
        </xdr:from>
        <xdr:to>
          <xdr:col>7</xdr:col>
          <xdr:colOff>0</xdr:colOff>
          <xdr:row>29</xdr:row>
          <xdr:rowOff>180975</xdr:rowOff>
        </xdr:to>
        <xdr:sp macro="" textlink="">
          <xdr:nvSpPr>
            <xdr:cNvPr id="12301" name="Group Box 2061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29</xdr:row>
          <xdr:rowOff>19050</xdr:rowOff>
        </xdr:from>
        <xdr:to>
          <xdr:col>2</xdr:col>
          <xdr:colOff>485775</xdr:colOff>
          <xdr:row>29</xdr:row>
          <xdr:rowOff>171450</xdr:rowOff>
        </xdr:to>
        <xdr:sp macro="" textlink="">
          <xdr:nvSpPr>
            <xdr:cNvPr id="12302" name="Option Button 2062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29</xdr:row>
          <xdr:rowOff>19050</xdr:rowOff>
        </xdr:from>
        <xdr:to>
          <xdr:col>3</xdr:col>
          <xdr:colOff>542925</xdr:colOff>
          <xdr:row>29</xdr:row>
          <xdr:rowOff>180975</xdr:rowOff>
        </xdr:to>
        <xdr:sp macro="" textlink="">
          <xdr:nvSpPr>
            <xdr:cNvPr id="12303" name="Option Button 2063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29</xdr:row>
          <xdr:rowOff>28575</xdr:rowOff>
        </xdr:from>
        <xdr:to>
          <xdr:col>4</xdr:col>
          <xdr:colOff>571500</xdr:colOff>
          <xdr:row>29</xdr:row>
          <xdr:rowOff>161925</xdr:rowOff>
        </xdr:to>
        <xdr:sp macro="" textlink="">
          <xdr:nvSpPr>
            <xdr:cNvPr id="12304" name="Option Button 2064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29</xdr:row>
          <xdr:rowOff>19050</xdr:rowOff>
        </xdr:from>
        <xdr:to>
          <xdr:col>5</xdr:col>
          <xdr:colOff>647700</xdr:colOff>
          <xdr:row>29</xdr:row>
          <xdr:rowOff>161925</xdr:rowOff>
        </xdr:to>
        <xdr:sp macro="" textlink="">
          <xdr:nvSpPr>
            <xdr:cNvPr id="12305" name="Option Button 2065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29</xdr:row>
          <xdr:rowOff>28575</xdr:rowOff>
        </xdr:from>
        <xdr:to>
          <xdr:col>6</xdr:col>
          <xdr:colOff>495300</xdr:colOff>
          <xdr:row>29</xdr:row>
          <xdr:rowOff>161925</xdr:rowOff>
        </xdr:to>
        <xdr:sp macro="" textlink="">
          <xdr:nvSpPr>
            <xdr:cNvPr id="12306" name="Option Button 2066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2307" name="Group Box 2067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30</xdr:row>
          <xdr:rowOff>95250</xdr:rowOff>
        </xdr:from>
        <xdr:to>
          <xdr:col>2</xdr:col>
          <xdr:colOff>533400</xdr:colOff>
          <xdr:row>31</xdr:row>
          <xdr:rowOff>0</xdr:rowOff>
        </xdr:to>
        <xdr:sp macro="" textlink="">
          <xdr:nvSpPr>
            <xdr:cNvPr id="12308" name="Option Button 2068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30</xdr:row>
          <xdr:rowOff>95250</xdr:rowOff>
        </xdr:from>
        <xdr:to>
          <xdr:col>3</xdr:col>
          <xdr:colOff>638175</xdr:colOff>
          <xdr:row>31</xdr:row>
          <xdr:rowOff>0</xdr:rowOff>
        </xdr:to>
        <xdr:sp macro="" textlink="">
          <xdr:nvSpPr>
            <xdr:cNvPr id="12309" name="Option Button 2069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30</xdr:row>
          <xdr:rowOff>95250</xdr:rowOff>
        </xdr:from>
        <xdr:to>
          <xdr:col>4</xdr:col>
          <xdr:colOff>657225</xdr:colOff>
          <xdr:row>31</xdr:row>
          <xdr:rowOff>0</xdr:rowOff>
        </xdr:to>
        <xdr:sp macro="" textlink="">
          <xdr:nvSpPr>
            <xdr:cNvPr id="12310" name="Option Button 2070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30</xdr:row>
          <xdr:rowOff>95250</xdr:rowOff>
        </xdr:from>
        <xdr:to>
          <xdr:col>5</xdr:col>
          <xdr:colOff>723900</xdr:colOff>
          <xdr:row>31</xdr:row>
          <xdr:rowOff>0</xdr:rowOff>
        </xdr:to>
        <xdr:sp macro="" textlink="">
          <xdr:nvSpPr>
            <xdr:cNvPr id="12311" name="Option Button 2071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30</xdr:row>
          <xdr:rowOff>104775</xdr:rowOff>
        </xdr:from>
        <xdr:to>
          <xdr:col>6</xdr:col>
          <xdr:colOff>628650</xdr:colOff>
          <xdr:row>31</xdr:row>
          <xdr:rowOff>0</xdr:rowOff>
        </xdr:to>
        <xdr:sp macro="" textlink="">
          <xdr:nvSpPr>
            <xdr:cNvPr id="12312" name="Option Button 2072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0</xdr:rowOff>
        </xdr:from>
        <xdr:to>
          <xdr:col>7</xdr:col>
          <xdr:colOff>0</xdr:colOff>
          <xdr:row>31</xdr:row>
          <xdr:rowOff>180975</xdr:rowOff>
        </xdr:to>
        <xdr:sp macro="" textlink="">
          <xdr:nvSpPr>
            <xdr:cNvPr id="12313" name="Group Box 2073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31</xdr:row>
          <xdr:rowOff>19050</xdr:rowOff>
        </xdr:from>
        <xdr:to>
          <xdr:col>2</xdr:col>
          <xdr:colOff>485775</xdr:colOff>
          <xdr:row>31</xdr:row>
          <xdr:rowOff>171450</xdr:rowOff>
        </xdr:to>
        <xdr:sp macro="" textlink="">
          <xdr:nvSpPr>
            <xdr:cNvPr id="12314" name="Option Button 2074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31</xdr:row>
          <xdr:rowOff>19050</xdr:rowOff>
        </xdr:from>
        <xdr:to>
          <xdr:col>3</xdr:col>
          <xdr:colOff>542925</xdr:colOff>
          <xdr:row>31</xdr:row>
          <xdr:rowOff>180975</xdr:rowOff>
        </xdr:to>
        <xdr:sp macro="" textlink="">
          <xdr:nvSpPr>
            <xdr:cNvPr id="12315" name="Option Button 2075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31</xdr:row>
          <xdr:rowOff>28575</xdr:rowOff>
        </xdr:from>
        <xdr:to>
          <xdr:col>4</xdr:col>
          <xdr:colOff>571500</xdr:colOff>
          <xdr:row>31</xdr:row>
          <xdr:rowOff>161925</xdr:rowOff>
        </xdr:to>
        <xdr:sp macro="" textlink="">
          <xdr:nvSpPr>
            <xdr:cNvPr id="12316" name="Option Button 2076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31</xdr:row>
          <xdr:rowOff>19050</xdr:rowOff>
        </xdr:from>
        <xdr:to>
          <xdr:col>5</xdr:col>
          <xdr:colOff>647700</xdr:colOff>
          <xdr:row>31</xdr:row>
          <xdr:rowOff>161925</xdr:rowOff>
        </xdr:to>
        <xdr:sp macro="" textlink="">
          <xdr:nvSpPr>
            <xdr:cNvPr id="12317" name="Option Button 2077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31</xdr:row>
          <xdr:rowOff>28575</xdr:rowOff>
        </xdr:from>
        <xdr:to>
          <xdr:col>6</xdr:col>
          <xdr:colOff>495300</xdr:colOff>
          <xdr:row>31</xdr:row>
          <xdr:rowOff>161925</xdr:rowOff>
        </xdr:to>
        <xdr:sp macro="" textlink="">
          <xdr:nvSpPr>
            <xdr:cNvPr id="12318" name="Option Button 2078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0</xdr:rowOff>
        </xdr:from>
        <xdr:to>
          <xdr:col>7</xdr:col>
          <xdr:colOff>0</xdr:colOff>
          <xdr:row>32</xdr:row>
          <xdr:rowOff>180975</xdr:rowOff>
        </xdr:to>
        <xdr:sp macro="" textlink="">
          <xdr:nvSpPr>
            <xdr:cNvPr id="12319" name="Group Box 2079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32</xdr:row>
          <xdr:rowOff>19050</xdr:rowOff>
        </xdr:from>
        <xdr:to>
          <xdr:col>2</xdr:col>
          <xdr:colOff>485775</xdr:colOff>
          <xdr:row>32</xdr:row>
          <xdr:rowOff>171450</xdr:rowOff>
        </xdr:to>
        <xdr:sp macro="" textlink="">
          <xdr:nvSpPr>
            <xdr:cNvPr id="12320" name="Option Button 2080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32</xdr:row>
          <xdr:rowOff>19050</xdr:rowOff>
        </xdr:from>
        <xdr:to>
          <xdr:col>3</xdr:col>
          <xdr:colOff>542925</xdr:colOff>
          <xdr:row>32</xdr:row>
          <xdr:rowOff>180975</xdr:rowOff>
        </xdr:to>
        <xdr:sp macro="" textlink="">
          <xdr:nvSpPr>
            <xdr:cNvPr id="12321" name="Option Button 2081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32</xdr:row>
          <xdr:rowOff>28575</xdr:rowOff>
        </xdr:from>
        <xdr:to>
          <xdr:col>4</xdr:col>
          <xdr:colOff>571500</xdr:colOff>
          <xdr:row>32</xdr:row>
          <xdr:rowOff>161925</xdr:rowOff>
        </xdr:to>
        <xdr:sp macro="" textlink="">
          <xdr:nvSpPr>
            <xdr:cNvPr id="12322" name="Option Button 2082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32</xdr:row>
          <xdr:rowOff>19050</xdr:rowOff>
        </xdr:from>
        <xdr:to>
          <xdr:col>5</xdr:col>
          <xdr:colOff>647700</xdr:colOff>
          <xdr:row>32</xdr:row>
          <xdr:rowOff>161925</xdr:rowOff>
        </xdr:to>
        <xdr:sp macro="" textlink="">
          <xdr:nvSpPr>
            <xdr:cNvPr id="12323" name="Option Button 2083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32</xdr:row>
          <xdr:rowOff>28575</xdr:rowOff>
        </xdr:from>
        <xdr:to>
          <xdr:col>6</xdr:col>
          <xdr:colOff>495300</xdr:colOff>
          <xdr:row>32</xdr:row>
          <xdr:rowOff>161925</xdr:rowOff>
        </xdr:to>
        <xdr:sp macro="" textlink="">
          <xdr:nvSpPr>
            <xdr:cNvPr id="12324" name="Option Button 2084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5</xdr:col>
      <xdr:colOff>465691</xdr:colOff>
      <xdr:row>3</xdr:row>
      <xdr:rowOff>42333</xdr:rowOff>
    </xdr:from>
    <xdr:to>
      <xdr:col>6</xdr:col>
      <xdr:colOff>868276</xdr:colOff>
      <xdr:row>7</xdr:row>
      <xdr:rowOff>132683</xdr:rowOff>
    </xdr:to>
    <xdr:pic>
      <xdr:nvPicPr>
        <xdr:cNvPr id="190" name="Picture 2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5034"/>
        <a:stretch/>
      </xdr:blipFill>
      <xdr:spPr bwMode="auto">
        <a:xfrm>
          <a:off x="11091358" y="613833"/>
          <a:ext cx="1450335" cy="852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0</xdr:rowOff>
        </xdr:from>
        <xdr:to>
          <xdr:col>7</xdr:col>
          <xdr:colOff>0</xdr:colOff>
          <xdr:row>21</xdr:row>
          <xdr:rowOff>9525</xdr:rowOff>
        </xdr:to>
        <xdr:sp macro="" textlink="">
          <xdr:nvSpPr>
            <xdr:cNvPr id="12361" name="Group Box 2121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20</xdr:row>
          <xdr:rowOff>0</xdr:rowOff>
        </xdr:from>
        <xdr:to>
          <xdr:col>2</xdr:col>
          <xdr:colOff>533400</xdr:colOff>
          <xdr:row>21</xdr:row>
          <xdr:rowOff>9525</xdr:rowOff>
        </xdr:to>
        <xdr:sp macro="" textlink="">
          <xdr:nvSpPr>
            <xdr:cNvPr id="12362" name="Option Button 2122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20</xdr:row>
          <xdr:rowOff>9525</xdr:rowOff>
        </xdr:from>
        <xdr:to>
          <xdr:col>3</xdr:col>
          <xdr:colOff>638175</xdr:colOff>
          <xdr:row>21</xdr:row>
          <xdr:rowOff>9525</xdr:rowOff>
        </xdr:to>
        <xdr:sp macro="" textlink="">
          <xdr:nvSpPr>
            <xdr:cNvPr id="12363" name="Option Button 2123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20</xdr:row>
          <xdr:rowOff>0</xdr:rowOff>
        </xdr:from>
        <xdr:to>
          <xdr:col>4</xdr:col>
          <xdr:colOff>657225</xdr:colOff>
          <xdr:row>21</xdr:row>
          <xdr:rowOff>9525</xdr:rowOff>
        </xdr:to>
        <xdr:sp macro="" textlink="">
          <xdr:nvSpPr>
            <xdr:cNvPr id="12364" name="Option Button 2124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20</xdr:row>
          <xdr:rowOff>9525</xdr:rowOff>
        </xdr:from>
        <xdr:to>
          <xdr:col>5</xdr:col>
          <xdr:colOff>714375</xdr:colOff>
          <xdr:row>21</xdr:row>
          <xdr:rowOff>9525</xdr:rowOff>
        </xdr:to>
        <xdr:sp macro="" textlink="">
          <xdr:nvSpPr>
            <xdr:cNvPr id="12365" name="Option Button 2125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20</xdr:row>
          <xdr:rowOff>9525</xdr:rowOff>
        </xdr:from>
        <xdr:to>
          <xdr:col>6</xdr:col>
          <xdr:colOff>628650</xdr:colOff>
          <xdr:row>21</xdr:row>
          <xdr:rowOff>9525</xdr:rowOff>
        </xdr:to>
        <xdr:sp macro="" textlink="">
          <xdr:nvSpPr>
            <xdr:cNvPr id="12366" name="Option Button 2126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0</xdr:rowOff>
        </xdr:from>
        <xdr:to>
          <xdr:col>7</xdr:col>
          <xdr:colOff>0</xdr:colOff>
          <xdr:row>20</xdr:row>
          <xdr:rowOff>9525</xdr:rowOff>
        </xdr:to>
        <xdr:sp macro="" textlink="">
          <xdr:nvSpPr>
            <xdr:cNvPr id="12367" name="Group Box 2127" hidden="1">
              <a:extLst>
                <a:ext uri="{63B3BB69-23CF-44E3-9099-C40C66FF867C}">
                  <a14:compatExt spid="_x0000_s12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19</xdr:row>
          <xdr:rowOff>0</xdr:rowOff>
        </xdr:from>
        <xdr:to>
          <xdr:col>2</xdr:col>
          <xdr:colOff>533400</xdr:colOff>
          <xdr:row>20</xdr:row>
          <xdr:rowOff>9525</xdr:rowOff>
        </xdr:to>
        <xdr:sp macro="" textlink="">
          <xdr:nvSpPr>
            <xdr:cNvPr id="12368" name="Option Button 2128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19</xdr:row>
          <xdr:rowOff>9525</xdr:rowOff>
        </xdr:from>
        <xdr:to>
          <xdr:col>3</xdr:col>
          <xdr:colOff>638175</xdr:colOff>
          <xdr:row>20</xdr:row>
          <xdr:rowOff>9525</xdr:rowOff>
        </xdr:to>
        <xdr:sp macro="" textlink="">
          <xdr:nvSpPr>
            <xdr:cNvPr id="12369" name="Option Button 2129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19</xdr:row>
          <xdr:rowOff>0</xdr:rowOff>
        </xdr:from>
        <xdr:to>
          <xdr:col>4</xdr:col>
          <xdr:colOff>657225</xdr:colOff>
          <xdr:row>20</xdr:row>
          <xdr:rowOff>9525</xdr:rowOff>
        </xdr:to>
        <xdr:sp macro="" textlink="">
          <xdr:nvSpPr>
            <xdr:cNvPr id="12370" name="Option Button 2130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19</xdr:row>
          <xdr:rowOff>9525</xdr:rowOff>
        </xdr:from>
        <xdr:to>
          <xdr:col>5</xdr:col>
          <xdr:colOff>714375</xdr:colOff>
          <xdr:row>20</xdr:row>
          <xdr:rowOff>9525</xdr:rowOff>
        </xdr:to>
        <xdr:sp macro="" textlink="">
          <xdr:nvSpPr>
            <xdr:cNvPr id="12371" name="Option Button 2131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19</xdr:row>
          <xdr:rowOff>9525</xdr:rowOff>
        </xdr:from>
        <xdr:to>
          <xdr:col>6</xdr:col>
          <xdr:colOff>628650</xdr:colOff>
          <xdr:row>20</xdr:row>
          <xdr:rowOff>9525</xdr:rowOff>
        </xdr:to>
        <xdr:sp macro="" textlink="">
          <xdr:nvSpPr>
            <xdr:cNvPr id="12372" name="Option Button 2132" hidden="1">
              <a:extLst>
                <a:ext uri="{63B3BB69-23CF-44E3-9099-C40C66FF867C}">
                  <a14:compatExt spid="_x0000_s12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0</xdr:rowOff>
        </xdr:from>
        <xdr:to>
          <xdr:col>7</xdr:col>
          <xdr:colOff>0</xdr:colOff>
          <xdr:row>19</xdr:row>
          <xdr:rowOff>9525</xdr:rowOff>
        </xdr:to>
        <xdr:sp macro="" textlink="">
          <xdr:nvSpPr>
            <xdr:cNvPr id="12373" name="Group Box 2133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18</xdr:row>
          <xdr:rowOff>0</xdr:rowOff>
        </xdr:from>
        <xdr:to>
          <xdr:col>2</xdr:col>
          <xdr:colOff>533400</xdr:colOff>
          <xdr:row>19</xdr:row>
          <xdr:rowOff>9525</xdr:rowOff>
        </xdr:to>
        <xdr:sp macro="" textlink="">
          <xdr:nvSpPr>
            <xdr:cNvPr id="12374" name="Option Button 2134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18</xdr:row>
          <xdr:rowOff>9525</xdr:rowOff>
        </xdr:from>
        <xdr:to>
          <xdr:col>3</xdr:col>
          <xdr:colOff>638175</xdr:colOff>
          <xdr:row>19</xdr:row>
          <xdr:rowOff>9525</xdr:rowOff>
        </xdr:to>
        <xdr:sp macro="" textlink="">
          <xdr:nvSpPr>
            <xdr:cNvPr id="12375" name="Option Button 2135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18</xdr:row>
          <xdr:rowOff>0</xdr:rowOff>
        </xdr:from>
        <xdr:to>
          <xdr:col>4</xdr:col>
          <xdr:colOff>657225</xdr:colOff>
          <xdr:row>19</xdr:row>
          <xdr:rowOff>9525</xdr:rowOff>
        </xdr:to>
        <xdr:sp macro="" textlink="">
          <xdr:nvSpPr>
            <xdr:cNvPr id="12376" name="Option Button 2136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18</xdr:row>
          <xdr:rowOff>9525</xdr:rowOff>
        </xdr:from>
        <xdr:to>
          <xdr:col>5</xdr:col>
          <xdr:colOff>714375</xdr:colOff>
          <xdr:row>19</xdr:row>
          <xdr:rowOff>9525</xdr:rowOff>
        </xdr:to>
        <xdr:sp macro="" textlink="">
          <xdr:nvSpPr>
            <xdr:cNvPr id="12377" name="Option Button 2137" hidden="1">
              <a:extLst>
                <a:ext uri="{63B3BB69-23CF-44E3-9099-C40C66FF867C}">
                  <a14:compatExt spid="_x0000_s12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18</xdr:row>
          <xdr:rowOff>9525</xdr:rowOff>
        </xdr:from>
        <xdr:to>
          <xdr:col>6</xdr:col>
          <xdr:colOff>628650</xdr:colOff>
          <xdr:row>19</xdr:row>
          <xdr:rowOff>9525</xdr:rowOff>
        </xdr:to>
        <xdr:sp macro="" textlink="">
          <xdr:nvSpPr>
            <xdr:cNvPr id="12378" name="Option Button 2138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4177" name="Group Box 81" hidden="1">
              <a:extLst>
                <a:ext uri="{63B3BB69-23CF-44E3-9099-C40C66FF867C}">
                  <a14:compatExt spid="_x0000_s4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7</xdr:row>
          <xdr:rowOff>47625</xdr:rowOff>
        </xdr:from>
        <xdr:to>
          <xdr:col>3</xdr:col>
          <xdr:colOff>723900</xdr:colOff>
          <xdr:row>7</xdr:row>
          <xdr:rowOff>142875</xdr:rowOff>
        </xdr:to>
        <xdr:sp macro="" textlink="">
          <xdr:nvSpPr>
            <xdr:cNvPr id="4178" name="Option Button 82" hidden="1">
              <a:extLst>
                <a:ext uri="{63B3BB69-23CF-44E3-9099-C40C66FF867C}">
                  <a14:compatExt spid="_x0000_s4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7</xdr:row>
          <xdr:rowOff>47625</xdr:rowOff>
        </xdr:from>
        <xdr:to>
          <xdr:col>4</xdr:col>
          <xdr:colOff>723900</xdr:colOff>
          <xdr:row>7</xdr:row>
          <xdr:rowOff>152400</xdr:rowOff>
        </xdr:to>
        <xdr:sp macro="" textlink="">
          <xdr:nvSpPr>
            <xdr:cNvPr id="4179" name="Option Button 83" hidden="1">
              <a:extLst>
                <a:ext uri="{63B3BB69-23CF-44E3-9099-C40C66FF867C}">
                  <a14:compatExt spid="_x0000_s4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7</xdr:row>
          <xdr:rowOff>57150</xdr:rowOff>
        </xdr:from>
        <xdr:to>
          <xdr:col>5</xdr:col>
          <xdr:colOff>742950</xdr:colOff>
          <xdr:row>7</xdr:row>
          <xdr:rowOff>152400</xdr:rowOff>
        </xdr:to>
        <xdr:sp macro="" textlink="">
          <xdr:nvSpPr>
            <xdr:cNvPr id="4180" name="Option Button 84" hidden="1">
              <a:extLst>
                <a:ext uri="{63B3BB69-23CF-44E3-9099-C40C66FF867C}">
                  <a14:compatExt spid="_x0000_s4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4197" name="Group Box 101" hidden="1">
              <a:extLst>
                <a:ext uri="{63B3BB69-23CF-44E3-9099-C40C66FF867C}">
                  <a14:compatExt spid="_x0000_s4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8</xdr:row>
          <xdr:rowOff>47625</xdr:rowOff>
        </xdr:from>
        <xdr:to>
          <xdr:col>3</xdr:col>
          <xdr:colOff>723900</xdr:colOff>
          <xdr:row>8</xdr:row>
          <xdr:rowOff>142875</xdr:rowOff>
        </xdr:to>
        <xdr:sp macro="" textlink="">
          <xdr:nvSpPr>
            <xdr:cNvPr id="4198" name="Option Button 102" hidden="1">
              <a:extLst>
                <a:ext uri="{63B3BB69-23CF-44E3-9099-C40C66FF867C}">
                  <a14:compatExt spid="_x0000_s4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8</xdr:row>
          <xdr:rowOff>47625</xdr:rowOff>
        </xdr:from>
        <xdr:to>
          <xdr:col>4</xdr:col>
          <xdr:colOff>723900</xdr:colOff>
          <xdr:row>8</xdr:row>
          <xdr:rowOff>152400</xdr:rowOff>
        </xdr:to>
        <xdr:sp macro="" textlink="">
          <xdr:nvSpPr>
            <xdr:cNvPr id="4199" name="Option Button 103" hidden="1">
              <a:extLst>
                <a:ext uri="{63B3BB69-23CF-44E3-9099-C40C66FF867C}">
                  <a14:compatExt spid="_x0000_s4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8</xdr:row>
          <xdr:rowOff>57150</xdr:rowOff>
        </xdr:from>
        <xdr:to>
          <xdr:col>5</xdr:col>
          <xdr:colOff>742950</xdr:colOff>
          <xdr:row>8</xdr:row>
          <xdr:rowOff>152400</xdr:rowOff>
        </xdr:to>
        <xdr:sp macro="" textlink="">
          <xdr:nvSpPr>
            <xdr:cNvPr id="4200" name="Option Button 104" hidden="1">
              <a:extLst>
                <a:ext uri="{63B3BB69-23CF-44E3-9099-C40C66FF867C}">
                  <a14:compatExt spid="_x0000_s4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4202" name="Group Box 106" hidden="1">
              <a:extLst>
                <a:ext uri="{63B3BB69-23CF-44E3-9099-C40C66FF867C}">
                  <a14:compatExt spid="_x0000_s4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9</xdr:row>
          <xdr:rowOff>47625</xdr:rowOff>
        </xdr:from>
        <xdr:to>
          <xdr:col>3</xdr:col>
          <xdr:colOff>714375</xdr:colOff>
          <xdr:row>9</xdr:row>
          <xdr:rowOff>142875</xdr:rowOff>
        </xdr:to>
        <xdr:sp macro="" textlink="">
          <xdr:nvSpPr>
            <xdr:cNvPr id="4203" name="Option Button 107" hidden="1">
              <a:extLst>
                <a:ext uri="{63B3BB69-23CF-44E3-9099-C40C66FF867C}">
                  <a14:compatExt spid="_x0000_s4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9</xdr:row>
          <xdr:rowOff>47625</xdr:rowOff>
        </xdr:from>
        <xdr:to>
          <xdr:col>4</xdr:col>
          <xdr:colOff>723900</xdr:colOff>
          <xdr:row>9</xdr:row>
          <xdr:rowOff>152400</xdr:rowOff>
        </xdr:to>
        <xdr:sp macro="" textlink="">
          <xdr:nvSpPr>
            <xdr:cNvPr id="4204" name="Option Button 108" hidden="1">
              <a:extLst>
                <a:ext uri="{63B3BB69-23CF-44E3-9099-C40C66FF867C}">
                  <a14:compatExt spid="_x0000_s4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9</xdr:row>
          <xdr:rowOff>57150</xdr:rowOff>
        </xdr:from>
        <xdr:to>
          <xdr:col>5</xdr:col>
          <xdr:colOff>742950</xdr:colOff>
          <xdr:row>9</xdr:row>
          <xdr:rowOff>152400</xdr:rowOff>
        </xdr:to>
        <xdr:sp macro="" textlink="">
          <xdr:nvSpPr>
            <xdr:cNvPr id="4205" name="Option Button 109" hidden="1">
              <a:extLst>
                <a:ext uri="{63B3BB69-23CF-44E3-9099-C40C66FF867C}">
                  <a14:compatExt spid="_x0000_s4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207" name="Group Box 111" hidden="1">
              <a:extLst>
                <a:ext uri="{63B3BB69-23CF-44E3-9099-C40C66FF867C}">
                  <a14:compatExt spid="_x0000_s4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10</xdr:row>
          <xdr:rowOff>47625</xdr:rowOff>
        </xdr:from>
        <xdr:to>
          <xdr:col>3</xdr:col>
          <xdr:colOff>714375</xdr:colOff>
          <xdr:row>10</xdr:row>
          <xdr:rowOff>142875</xdr:rowOff>
        </xdr:to>
        <xdr:sp macro="" textlink="">
          <xdr:nvSpPr>
            <xdr:cNvPr id="4208" name="Option Button 112" hidden="1">
              <a:extLst>
                <a:ext uri="{63B3BB69-23CF-44E3-9099-C40C66FF867C}">
                  <a14:compatExt spid="_x0000_s4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10</xdr:row>
          <xdr:rowOff>47625</xdr:rowOff>
        </xdr:from>
        <xdr:to>
          <xdr:col>4</xdr:col>
          <xdr:colOff>723900</xdr:colOff>
          <xdr:row>10</xdr:row>
          <xdr:rowOff>152400</xdr:rowOff>
        </xdr:to>
        <xdr:sp macro="" textlink="">
          <xdr:nvSpPr>
            <xdr:cNvPr id="4209" name="Option Button 113" hidden="1">
              <a:extLst>
                <a:ext uri="{63B3BB69-23CF-44E3-9099-C40C66FF867C}">
                  <a14:compatExt spid="_x0000_s4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10</xdr:row>
          <xdr:rowOff>57150</xdr:rowOff>
        </xdr:from>
        <xdr:to>
          <xdr:col>5</xdr:col>
          <xdr:colOff>742950</xdr:colOff>
          <xdr:row>10</xdr:row>
          <xdr:rowOff>152400</xdr:rowOff>
        </xdr:to>
        <xdr:sp macro="" textlink="">
          <xdr:nvSpPr>
            <xdr:cNvPr id="4210" name="Option Button 114" hidden="1">
              <a:extLst>
                <a:ext uri="{63B3BB69-23CF-44E3-9099-C40C66FF867C}">
                  <a14:compatExt spid="_x0000_s4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4212" name="Group Box 116" hidden="1">
              <a:extLst>
                <a:ext uri="{63B3BB69-23CF-44E3-9099-C40C66FF867C}">
                  <a14:compatExt spid="_x0000_s4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11</xdr:row>
          <xdr:rowOff>47625</xdr:rowOff>
        </xdr:from>
        <xdr:to>
          <xdr:col>3</xdr:col>
          <xdr:colOff>714375</xdr:colOff>
          <xdr:row>11</xdr:row>
          <xdr:rowOff>142875</xdr:rowOff>
        </xdr:to>
        <xdr:sp macro="" textlink="">
          <xdr:nvSpPr>
            <xdr:cNvPr id="4213" name="Option Button 117" hidden="1">
              <a:extLst>
                <a:ext uri="{63B3BB69-23CF-44E3-9099-C40C66FF867C}">
                  <a14:compatExt spid="_x0000_s4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11</xdr:row>
          <xdr:rowOff>47625</xdr:rowOff>
        </xdr:from>
        <xdr:to>
          <xdr:col>4</xdr:col>
          <xdr:colOff>723900</xdr:colOff>
          <xdr:row>11</xdr:row>
          <xdr:rowOff>152400</xdr:rowOff>
        </xdr:to>
        <xdr:sp macro="" textlink="">
          <xdr:nvSpPr>
            <xdr:cNvPr id="4214" name="Option Button 118" hidden="1">
              <a:extLst>
                <a:ext uri="{63B3BB69-23CF-44E3-9099-C40C66FF867C}">
                  <a14:compatExt spid="_x0000_s4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11</xdr:row>
          <xdr:rowOff>57150</xdr:rowOff>
        </xdr:from>
        <xdr:to>
          <xdr:col>5</xdr:col>
          <xdr:colOff>742950</xdr:colOff>
          <xdr:row>11</xdr:row>
          <xdr:rowOff>152400</xdr:rowOff>
        </xdr:to>
        <xdr:sp macro="" textlink="">
          <xdr:nvSpPr>
            <xdr:cNvPr id="4215" name="Option Button 119" hidden="1">
              <a:extLst>
                <a:ext uri="{63B3BB69-23CF-44E3-9099-C40C66FF867C}">
                  <a14:compatExt spid="_x0000_s4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6</xdr:col>
          <xdr:colOff>0</xdr:colOff>
          <xdr:row>15</xdr:row>
          <xdr:rowOff>180975</xdr:rowOff>
        </xdr:to>
        <xdr:sp macro="" textlink="">
          <xdr:nvSpPr>
            <xdr:cNvPr id="4232" name="Group Box 136" hidden="1">
              <a:extLst>
                <a:ext uri="{63B3BB69-23CF-44E3-9099-C40C66FF867C}">
                  <a14:compatExt spid="_x0000_s4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15</xdr:row>
          <xdr:rowOff>47625</xdr:rowOff>
        </xdr:from>
        <xdr:to>
          <xdr:col>3</xdr:col>
          <xdr:colOff>714375</xdr:colOff>
          <xdr:row>15</xdr:row>
          <xdr:rowOff>142875</xdr:rowOff>
        </xdr:to>
        <xdr:sp macro="" textlink="">
          <xdr:nvSpPr>
            <xdr:cNvPr id="4233" name="Option Button 137" hidden="1">
              <a:extLst>
                <a:ext uri="{63B3BB69-23CF-44E3-9099-C40C66FF867C}">
                  <a14:compatExt spid="_x0000_s4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15</xdr:row>
          <xdr:rowOff>47625</xdr:rowOff>
        </xdr:from>
        <xdr:to>
          <xdr:col>4</xdr:col>
          <xdr:colOff>723900</xdr:colOff>
          <xdr:row>15</xdr:row>
          <xdr:rowOff>152400</xdr:rowOff>
        </xdr:to>
        <xdr:sp macro="" textlink="">
          <xdr:nvSpPr>
            <xdr:cNvPr id="4234" name="Option Button 138" hidden="1">
              <a:extLst>
                <a:ext uri="{63B3BB69-23CF-44E3-9099-C40C66FF867C}">
                  <a14:compatExt spid="_x0000_s4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15</xdr:row>
          <xdr:rowOff>57150</xdr:rowOff>
        </xdr:from>
        <xdr:to>
          <xdr:col>5</xdr:col>
          <xdr:colOff>742950</xdr:colOff>
          <xdr:row>15</xdr:row>
          <xdr:rowOff>152400</xdr:rowOff>
        </xdr:to>
        <xdr:sp macro="" textlink="">
          <xdr:nvSpPr>
            <xdr:cNvPr id="4235" name="Option Button 139" hidden="1">
              <a:extLst>
                <a:ext uri="{63B3BB69-23CF-44E3-9099-C40C66FF867C}">
                  <a14:compatExt spid="_x0000_s4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4237" name="Group Box 141" hidden="1">
              <a:extLst>
                <a:ext uri="{63B3BB69-23CF-44E3-9099-C40C66FF867C}">
                  <a14:compatExt spid="_x0000_s4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16</xdr:row>
          <xdr:rowOff>47625</xdr:rowOff>
        </xdr:from>
        <xdr:to>
          <xdr:col>3</xdr:col>
          <xdr:colOff>723900</xdr:colOff>
          <xdr:row>16</xdr:row>
          <xdr:rowOff>142875</xdr:rowOff>
        </xdr:to>
        <xdr:sp macro="" textlink="">
          <xdr:nvSpPr>
            <xdr:cNvPr id="4238" name="Option Button 142" hidden="1">
              <a:extLst>
                <a:ext uri="{63B3BB69-23CF-44E3-9099-C40C66FF867C}">
                  <a14:compatExt spid="_x0000_s4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16</xdr:row>
          <xdr:rowOff>47625</xdr:rowOff>
        </xdr:from>
        <xdr:to>
          <xdr:col>4</xdr:col>
          <xdr:colOff>723900</xdr:colOff>
          <xdr:row>16</xdr:row>
          <xdr:rowOff>152400</xdr:rowOff>
        </xdr:to>
        <xdr:sp macro="" textlink="">
          <xdr:nvSpPr>
            <xdr:cNvPr id="4239" name="Option Button 143" hidden="1">
              <a:extLst>
                <a:ext uri="{63B3BB69-23CF-44E3-9099-C40C66FF867C}">
                  <a14:compatExt spid="_x0000_s4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16</xdr:row>
          <xdr:rowOff>57150</xdr:rowOff>
        </xdr:from>
        <xdr:to>
          <xdr:col>5</xdr:col>
          <xdr:colOff>742950</xdr:colOff>
          <xdr:row>16</xdr:row>
          <xdr:rowOff>152400</xdr:rowOff>
        </xdr:to>
        <xdr:sp macro="" textlink="">
          <xdr:nvSpPr>
            <xdr:cNvPr id="4240" name="Option Button 144" hidden="1">
              <a:extLst>
                <a:ext uri="{63B3BB69-23CF-44E3-9099-C40C66FF867C}">
                  <a14:compatExt spid="_x0000_s4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6</xdr:col>
          <xdr:colOff>0</xdr:colOff>
          <xdr:row>17</xdr:row>
          <xdr:rowOff>180975</xdr:rowOff>
        </xdr:to>
        <xdr:sp macro="" textlink="">
          <xdr:nvSpPr>
            <xdr:cNvPr id="4242" name="Group Box 146" hidden="1">
              <a:extLst>
                <a:ext uri="{63B3BB69-23CF-44E3-9099-C40C66FF867C}">
                  <a14:compatExt spid="_x0000_s4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17</xdr:row>
          <xdr:rowOff>47625</xdr:rowOff>
        </xdr:from>
        <xdr:to>
          <xdr:col>3</xdr:col>
          <xdr:colOff>714375</xdr:colOff>
          <xdr:row>17</xdr:row>
          <xdr:rowOff>142875</xdr:rowOff>
        </xdr:to>
        <xdr:sp macro="" textlink="">
          <xdr:nvSpPr>
            <xdr:cNvPr id="4243" name="Option Button 147" hidden="1">
              <a:extLst>
                <a:ext uri="{63B3BB69-23CF-44E3-9099-C40C66FF867C}">
                  <a14:compatExt spid="_x0000_s4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17</xdr:row>
          <xdr:rowOff>47625</xdr:rowOff>
        </xdr:from>
        <xdr:to>
          <xdr:col>4</xdr:col>
          <xdr:colOff>723900</xdr:colOff>
          <xdr:row>17</xdr:row>
          <xdr:rowOff>152400</xdr:rowOff>
        </xdr:to>
        <xdr:sp macro="" textlink="">
          <xdr:nvSpPr>
            <xdr:cNvPr id="4244" name="Option Button 148" hidden="1">
              <a:extLst>
                <a:ext uri="{63B3BB69-23CF-44E3-9099-C40C66FF867C}">
                  <a14:compatExt spid="_x0000_s4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17</xdr:row>
          <xdr:rowOff>57150</xdr:rowOff>
        </xdr:from>
        <xdr:to>
          <xdr:col>5</xdr:col>
          <xdr:colOff>742950</xdr:colOff>
          <xdr:row>17</xdr:row>
          <xdr:rowOff>152400</xdr:rowOff>
        </xdr:to>
        <xdr:sp macro="" textlink="">
          <xdr:nvSpPr>
            <xdr:cNvPr id="4245" name="Option Button 149" hidden="1">
              <a:extLst>
                <a:ext uri="{63B3BB69-23CF-44E3-9099-C40C66FF867C}">
                  <a14:compatExt spid="_x0000_s4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249" name="Group Box 153" hidden="1">
              <a:extLst>
                <a:ext uri="{63B3BB69-23CF-44E3-9099-C40C66FF867C}">
                  <a14:compatExt spid="_x0000_s4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4</xdr:row>
          <xdr:rowOff>47625</xdr:rowOff>
        </xdr:from>
        <xdr:to>
          <xdr:col>3</xdr:col>
          <xdr:colOff>714375</xdr:colOff>
          <xdr:row>4</xdr:row>
          <xdr:rowOff>142875</xdr:rowOff>
        </xdr:to>
        <xdr:sp macro="" textlink="">
          <xdr:nvSpPr>
            <xdr:cNvPr id="4250" name="Option Button 154" hidden="1">
              <a:extLst>
                <a:ext uri="{63B3BB69-23CF-44E3-9099-C40C66FF867C}">
                  <a14:compatExt spid="_x0000_s4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4</xdr:row>
          <xdr:rowOff>47625</xdr:rowOff>
        </xdr:from>
        <xdr:to>
          <xdr:col>4</xdr:col>
          <xdr:colOff>723900</xdr:colOff>
          <xdr:row>4</xdr:row>
          <xdr:rowOff>152400</xdr:rowOff>
        </xdr:to>
        <xdr:sp macro="" textlink="">
          <xdr:nvSpPr>
            <xdr:cNvPr id="4251" name="Option Button 155" hidden="1">
              <a:extLst>
                <a:ext uri="{63B3BB69-23CF-44E3-9099-C40C66FF867C}">
                  <a14:compatExt spid="_x0000_s4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4</xdr:row>
          <xdr:rowOff>57150</xdr:rowOff>
        </xdr:from>
        <xdr:to>
          <xdr:col>5</xdr:col>
          <xdr:colOff>742950</xdr:colOff>
          <xdr:row>4</xdr:row>
          <xdr:rowOff>152400</xdr:rowOff>
        </xdr:to>
        <xdr:sp macro="" textlink="">
          <xdr:nvSpPr>
            <xdr:cNvPr id="4252" name="Option Button 156" hidden="1">
              <a:extLst>
                <a:ext uri="{63B3BB69-23CF-44E3-9099-C40C66FF867C}">
                  <a14:compatExt spid="_x0000_s4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4253" name="Group Box 157" hidden="1">
              <a:extLst>
                <a:ext uri="{63B3BB69-23CF-44E3-9099-C40C66FF867C}">
                  <a14:compatExt spid="_x0000_s4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18</xdr:row>
          <xdr:rowOff>47625</xdr:rowOff>
        </xdr:from>
        <xdr:to>
          <xdr:col>3</xdr:col>
          <xdr:colOff>714375</xdr:colOff>
          <xdr:row>18</xdr:row>
          <xdr:rowOff>142875</xdr:rowOff>
        </xdr:to>
        <xdr:sp macro="" textlink="">
          <xdr:nvSpPr>
            <xdr:cNvPr id="4254" name="Option Button 158" hidden="1">
              <a:extLst>
                <a:ext uri="{63B3BB69-23CF-44E3-9099-C40C66FF867C}">
                  <a14:compatExt spid="_x0000_s4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18</xdr:row>
          <xdr:rowOff>47625</xdr:rowOff>
        </xdr:from>
        <xdr:to>
          <xdr:col>4</xdr:col>
          <xdr:colOff>723900</xdr:colOff>
          <xdr:row>18</xdr:row>
          <xdr:rowOff>152400</xdr:rowOff>
        </xdr:to>
        <xdr:sp macro="" textlink="">
          <xdr:nvSpPr>
            <xdr:cNvPr id="4255" name="Option Button 159" hidden="1">
              <a:extLst>
                <a:ext uri="{63B3BB69-23CF-44E3-9099-C40C66FF867C}">
                  <a14:compatExt spid="_x0000_s4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18</xdr:row>
          <xdr:rowOff>57150</xdr:rowOff>
        </xdr:from>
        <xdr:to>
          <xdr:col>5</xdr:col>
          <xdr:colOff>742950</xdr:colOff>
          <xdr:row>18</xdr:row>
          <xdr:rowOff>152400</xdr:rowOff>
        </xdr:to>
        <xdr:sp macro="" textlink="">
          <xdr:nvSpPr>
            <xdr:cNvPr id="4256" name="Option Button 160" hidden="1">
              <a:extLst>
                <a:ext uri="{63B3BB69-23CF-44E3-9099-C40C66FF867C}">
                  <a14:compatExt spid="_x0000_s4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6</xdr:col>
          <xdr:colOff>0</xdr:colOff>
          <xdr:row>12</xdr:row>
          <xdr:rowOff>190500</xdr:rowOff>
        </xdr:to>
        <xdr:sp macro="" textlink="">
          <xdr:nvSpPr>
            <xdr:cNvPr id="4257" name="Group Box 161" hidden="1">
              <a:extLst>
                <a:ext uri="{63B3BB69-23CF-44E3-9099-C40C66FF867C}">
                  <a14:compatExt spid="_x0000_s4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12</xdr:row>
          <xdr:rowOff>47625</xdr:rowOff>
        </xdr:from>
        <xdr:to>
          <xdr:col>3</xdr:col>
          <xdr:colOff>714375</xdr:colOff>
          <xdr:row>12</xdr:row>
          <xdr:rowOff>142875</xdr:rowOff>
        </xdr:to>
        <xdr:sp macro="" textlink="">
          <xdr:nvSpPr>
            <xdr:cNvPr id="4258" name="Option Button 162" hidden="1">
              <a:extLst>
                <a:ext uri="{63B3BB69-23CF-44E3-9099-C40C66FF867C}">
                  <a14:compatExt spid="_x0000_s4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12</xdr:row>
          <xdr:rowOff>47625</xdr:rowOff>
        </xdr:from>
        <xdr:to>
          <xdr:col>4</xdr:col>
          <xdr:colOff>723900</xdr:colOff>
          <xdr:row>12</xdr:row>
          <xdr:rowOff>152400</xdr:rowOff>
        </xdr:to>
        <xdr:sp macro="" textlink="">
          <xdr:nvSpPr>
            <xdr:cNvPr id="4259" name="Option Button 163" hidden="1">
              <a:extLst>
                <a:ext uri="{63B3BB69-23CF-44E3-9099-C40C66FF867C}">
                  <a14:compatExt spid="_x0000_s4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12</xdr:row>
          <xdr:rowOff>57150</xdr:rowOff>
        </xdr:from>
        <xdr:to>
          <xdr:col>5</xdr:col>
          <xdr:colOff>742950</xdr:colOff>
          <xdr:row>12</xdr:row>
          <xdr:rowOff>152400</xdr:rowOff>
        </xdr:to>
        <xdr:sp macro="" textlink="">
          <xdr:nvSpPr>
            <xdr:cNvPr id="4260" name="Option Button 164" hidden="1">
              <a:extLst>
                <a:ext uri="{63B3BB69-23CF-44E3-9099-C40C66FF867C}">
                  <a14:compatExt spid="_x0000_s4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4261" name="Group Box 165" hidden="1">
              <a:extLst>
                <a:ext uri="{63B3BB69-23CF-44E3-9099-C40C66FF867C}">
                  <a14:compatExt spid="_x0000_s4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13</xdr:row>
          <xdr:rowOff>47625</xdr:rowOff>
        </xdr:from>
        <xdr:to>
          <xdr:col>3</xdr:col>
          <xdr:colOff>714375</xdr:colOff>
          <xdr:row>13</xdr:row>
          <xdr:rowOff>142875</xdr:rowOff>
        </xdr:to>
        <xdr:sp macro="" textlink="">
          <xdr:nvSpPr>
            <xdr:cNvPr id="4262" name="Option Button 166" hidden="1">
              <a:extLst>
                <a:ext uri="{63B3BB69-23CF-44E3-9099-C40C66FF867C}">
                  <a14:compatExt spid="_x0000_s4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13</xdr:row>
          <xdr:rowOff>47625</xdr:rowOff>
        </xdr:from>
        <xdr:to>
          <xdr:col>4</xdr:col>
          <xdr:colOff>723900</xdr:colOff>
          <xdr:row>13</xdr:row>
          <xdr:rowOff>152400</xdr:rowOff>
        </xdr:to>
        <xdr:sp macro="" textlink="">
          <xdr:nvSpPr>
            <xdr:cNvPr id="4263" name="Option Button 167" hidden="1">
              <a:extLst>
                <a:ext uri="{63B3BB69-23CF-44E3-9099-C40C66FF867C}">
                  <a14:compatExt spid="_x0000_s4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13</xdr:row>
          <xdr:rowOff>57150</xdr:rowOff>
        </xdr:from>
        <xdr:to>
          <xdr:col>5</xdr:col>
          <xdr:colOff>742950</xdr:colOff>
          <xdr:row>13</xdr:row>
          <xdr:rowOff>152400</xdr:rowOff>
        </xdr:to>
        <xdr:sp macro="" textlink="">
          <xdr:nvSpPr>
            <xdr:cNvPr id="4264" name="Option Button 168" hidden="1">
              <a:extLst>
                <a:ext uri="{63B3BB69-23CF-44E3-9099-C40C66FF867C}">
                  <a14:compatExt spid="_x0000_s4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6</xdr:col>
          <xdr:colOff>0</xdr:colOff>
          <xdr:row>14</xdr:row>
          <xdr:rowOff>180975</xdr:rowOff>
        </xdr:to>
        <xdr:sp macro="" textlink="">
          <xdr:nvSpPr>
            <xdr:cNvPr id="4265" name="Group Box 169" hidden="1">
              <a:extLst>
                <a:ext uri="{63B3BB69-23CF-44E3-9099-C40C66FF867C}">
                  <a14:compatExt spid="_x0000_s4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14</xdr:row>
          <xdr:rowOff>47625</xdr:rowOff>
        </xdr:from>
        <xdr:to>
          <xdr:col>3</xdr:col>
          <xdr:colOff>714375</xdr:colOff>
          <xdr:row>14</xdr:row>
          <xdr:rowOff>142875</xdr:rowOff>
        </xdr:to>
        <xdr:sp macro="" textlink="">
          <xdr:nvSpPr>
            <xdr:cNvPr id="4266" name="Option Button 170" hidden="1">
              <a:extLst>
                <a:ext uri="{63B3BB69-23CF-44E3-9099-C40C66FF867C}">
                  <a14:compatExt spid="_x0000_s4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14</xdr:row>
          <xdr:rowOff>47625</xdr:rowOff>
        </xdr:from>
        <xdr:to>
          <xdr:col>4</xdr:col>
          <xdr:colOff>723900</xdr:colOff>
          <xdr:row>14</xdr:row>
          <xdr:rowOff>152400</xdr:rowOff>
        </xdr:to>
        <xdr:sp macro="" textlink="">
          <xdr:nvSpPr>
            <xdr:cNvPr id="4267" name="Option Button 171" hidden="1">
              <a:extLst>
                <a:ext uri="{63B3BB69-23CF-44E3-9099-C40C66FF867C}">
                  <a14:compatExt spid="_x0000_s4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14</xdr:row>
          <xdr:rowOff>57150</xdr:rowOff>
        </xdr:from>
        <xdr:to>
          <xdr:col>5</xdr:col>
          <xdr:colOff>742950</xdr:colOff>
          <xdr:row>14</xdr:row>
          <xdr:rowOff>152400</xdr:rowOff>
        </xdr:to>
        <xdr:sp macro="" textlink="">
          <xdr:nvSpPr>
            <xdr:cNvPr id="4268" name="Option Button 172" hidden="1">
              <a:extLst>
                <a:ext uri="{63B3BB69-23CF-44E3-9099-C40C66FF867C}">
                  <a14:compatExt spid="_x0000_s4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6</xdr:col>
          <xdr:colOff>0</xdr:colOff>
          <xdr:row>5</xdr:row>
          <xdr:rowOff>180975</xdr:rowOff>
        </xdr:to>
        <xdr:sp macro="" textlink="">
          <xdr:nvSpPr>
            <xdr:cNvPr id="4270" name="Group Box 174" hidden="1">
              <a:extLst>
                <a:ext uri="{63B3BB69-23CF-44E3-9099-C40C66FF867C}">
                  <a14:compatExt spid="_x0000_s4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5</xdr:row>
          <xdr:rowOff>47625</xdr:rowOff>
        </xdr:from>
        <xdr:to>
          <xdr:col>3</xdr:col>
          <xdr:colOff>723900</xdr:colOff>
          <xdr:row>5</xdr:row>
          <xdr:rowOff>142875</xdr:rowOff>
        </xdr:to>
        <xdr:sp macro="" textlink="">
          <xdr:nvSpPr>
            <xdr:cNvPr id="4271" name="Option Button 175" hidden="1">
              <a:extLst>
                <a:ext uri="{63B3BB69-23CF-44E3-9099-C40C66FF867C}">
                  <a14:compatExt spid="_x0000_s4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5</xdr:row>
          <xdr:rowOff>47625</xdr:rowOff>
        </xdr:from>
        <xdr:to>
          <xdr:col>4</xdr:col>
          <xdr:colOff>723900</xdr:colOff>
          <xdr:row>5</xdr:row>
          <xdr:rowOff>152400</xdr:rowOff>
        </xdr:to>
        <xdr:sp macro="" textlink="">
          <xdr:nvSpPr>
            <xdr:cNvPr id="4272" name="Option Button 176" hidden="1">
              <a:extLst>
                <a:ext uri="{63B3BB69-23CF-44E3-9099-C40C66FF867C}">
                  <a14:compatExt spid="_x0000_s4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5</xdr:row>
          <xdr:rowOff>57150</xdr:rowOff>
        </xdr:from>
        <xdr:to>
          <xdr:col>5</xdr:col>
          <xdr:colOff>742950</xdr:colOff>
          <xdr:row>5</xdr:row>
          <xdr:rowOff>152400</xdr:rowOff>
        </xdr:to>
        <xdr:sp macro="" textlink="">
          <xdr:nvSpPr>
            <xdr:cNvPr id="4273" name="Option Button 177" hidden="1">
              <a:extLst>
                <a:ext uri="{63B3BB69-23CF-44E3-9099-C40C66FF867C}">
                  <a14:compatExt spid="_x0000_s4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6</xdr:col>
          <xdr:colOff>0</xdr:colOff>
          <xdr:row>6</xdr:row>
          <xdr:rowOff>180975</xdr:rowOff>
        </xdr:to>
        <xdr:sp macro="" textlink="">
          <xdr:nvSpPr>
            <xdr:cNvPr id="4274" name="Group Box 178" hidden="1">
              <a:extLst>
                <a:ext uri="{63B3BB69-23CF-44E3-9099-C40C66FF867C}">
                  <a14:compatExt spid="_x0000_s4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6</xdr:row>
          <xdr:rowOff>47625</xdr:rowOff>
        </xdr:from>
        <xdr:to>
          <xdr:col>3</xdr:col>
          <xdr:colOff>723900</xdr:colOff>
          <xdr:row>6</xdr:row>
          <xdr:rowOff>142875</xdr:rowOff>
        </xdr:to>
        <xdr:sp macro="" textlink="">
          <xdr:nvSpPr>
            <xdr:cNvPr id="4275" name="Option Button 179" hidden="1">
              <a:extLst>
                <a:ext uri="{63B3BB69-23CF-44E3-9099-C40C66FF867C}">
                  <a14:compatExt spid="_x0000_s4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6</xdr:row>
          <xdr:rowOff>47625</xdr:rowOff>
        </xdr:from>
        <xdr:to>
          <xdr:col>4</xdr:col>
          <xdr:colOff>723900</xdr:colOff>
          <xdr:row>6</xdr:row>
          <xdr:rowOff>152400</xdr:rowOff>
        </xdr:to>
        <xdr:sp macro="" textlink="">
          <xdr:nvSpPr>
            <xdr:cNvPr id="4276" name="Option Button 180" hidden="1">
              <a:extLst>
                <a:ext uri="{63B3BB69-23CF-44E3-9099-C40C66FF867C}">
                  <a14:compatExt spid="_x0000_s4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6</xdr:row>
          <xdr:rowOff>57150</xdr:rowOff>
        </xdr:from>
        <xdr:to>
          <xdr:col>5</xdr:col>
          <xdr:colOff>742950</xdr:colOff>
          <xdr:row>6</xdr:row>
          <xdr:rowOff>152400</xdr:rowOff>
        </xdr:to>
        <xdr:sp macro="" textlink="">
          <xdr:nvSpPr>
            <xdr:cNvPr id="4277" name="Option Button 181" hidden="1">
              <a:extLst>
                <a:ext uri="{63B3BB69-23CF-44E3-9099-C40C66FF867C}">
                  <a14:compatExt spid="_x0000_s4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6</xdr:col>
      <xdr:colOff>219075</xdr:colOff>
      <xdr:row>0</xdr:row>
      <xdr:rowOff>28575</xdr:rowOff>
    </xdr:from>
    <xdr:to>
      <xdr:col>8</xdr:col>
      <xdr:colOff>288285</xdr:colOff>
      <xdr:row>3</xdr:row>
      <xdr:rowOff>128450</xdr:rowOff>
    </xdr:to>
    <xdr:pic>
      <xdr:nvPicPr>
        <xdr:cNvPr id="72" name="Picture 2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5034"/>
        <a:stretch/>
      </xdr:blipFill>
      <xdr:spPr bwMode="auto">
        <a:xfrm>
          <a:off x="11229975" y="28575"/>
          <a:ext cx="1450335" cy="852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19050</xdr:colOff>
      <xdr:row>28</xdr:row>
      <xdr:rowOff>9525</xdr:rowOff>
    </xdr:from>
    <xdr:ext cx="1152525" cy="180975"/>
    <xdr:sp macro="" textlink="">
      <xdr:nvSpPr>
        <xdr:cNvPr id="2" name="CaixaDeTexto 1"/>
        <xdr:cNvSpPr txBox="1"/>
      </xdr:nvSpPr>
      <xdr:spPr>
        <a:xfrm>
          <a:off x="7667625" y="5915025"/>
          <a:ext cx="1152525" cy="1809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</a:rPr>
            <a:t>Mental</a:t>
          </a:r>
        </a:p>
      </xdr:txBody>
    </xdr:sp>
    <xdr:clientData/>
  </xdr:oneCellAnchor>
  <xdr:oneCellAnchor>
    <xdr:from>
      <xdr:col>5</xdr:col>
      <xdr:colOff>9525</xdr:colOff>
      <xdr:row>28</xdr:row>
      <xdr:rowOff>0</xdr:rowOff>
    </xdr:from>
    <xdr:ext cx="1152525" cy="180975"/>
    <xdr:sp macro="" textlink="">
      <xdr:nvSpPr>
        <xdr:cNvPr id="74" name="CaixaDeTexto 73"/>
        <xdr:cNvSpPr txBox="1"/>
      </xdr:nvSpPr>
      <xdr:spPr>
        <a:xfrm>
          <a:off x="10001250" y="5905500"/>
          <a:ext cx="1152525" cy="1809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</a:rPr>
            <a:t>Pessoas</a:t>
          </a:r>
        </a:p>
      </xdr:txBody>
    </xdr:sp>
    <xdr:clientData/>
  </xdr:oneCellAnchor>
  <xdr:oneCellAnchor>
    <xdr:from>
      <xdr:col>4</xdr:col>
      <xdr:colOff>19050</xdr:colOff>
      <xdr:row>29</xdr:row>
      <xdr:rowOff>9525</xdr:rowOff>
    </xdr:from>
    <xdr:ext cx="1152525" cy="180975"/>
    <xdr:sp macro="" textlink="">
      <xdr:nvSpPr>
        <xdr:cNvPr id="75" name="CaixaDeTexto 74"/>
        <xdr:cNvSpPr txBox="1"/>
      </xdr:nvSpPr>
      <xdr:spPr>
        <a:xfrm>
          <a:off x="8839200" y="6105525"/>
          <a:ext cx="1152525" cy="1809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</a:rPr>
            <a:t>Mudanças</a:t>
          </a:r>
        </a:p>
      </xdr:txBody>
    </xdr:sp>
    <xdr:clientData/>
  </xdr:oneCellAnchor>
  <xdr:oneCellAnchor>
    <xdr:from>
      <xdr:col>3</xdr:col>
      <xdr:colOff>19050</xdr:colOff>
      <xdr:row>30</xdr:row>
      <xdr:rowOff>9525</xdr:rowOff>
    </xdr:from>
    <xdr:ext cx="1152525" cy="180975"/>
    <xdr:sp macro="" textlink="">
      <xdr:nvSpPr>
        <xdr:cNvPr id="76" name="CaixaDeTexto 75"/>
        <xdr:cNvSpPr txBox="1"/>
      </xdr:nvSpPr>
      <xdr:spPr>
        <a:xfrm>
          <a:off x="7667625" y="6296025"/>
          <a:ext cx="1152525" cy="1809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</a:rPr>
            <a:t>Resultados</a:t>
          </a:r>
        </a:p>
      </xdr:txBody>
    </xdr:sp>
    <xdr:clientData/>
  </xdr:oneCellAnchor>
  <xdr:oneCellAnchor>
    <xdr:from>
      <xdr:col>4</xdr:col>
      <xdr:colOff>1123950</xdr:colOff>
      <xdr:row>30</xdr:row>
      <xdr:rowOff>9525</xdr:rowOff>
    </xdr:from>
    <xdr:ext cx="1285875" cy="180975"/>
    <xdr:sp macro="" textlink="">
      <xdr:nvSpPr>
        <xdr:cNvPr id="77" name="CaixaDeTexto 76"/>
        <xdr:cNvSpPr txBox="1"/>
      </xdr:nvSpPr>
      <xdr:spPr>
        <a:xfrm>
          <a:off x="9944100" y="6296025"/>
          <a:ext cx="1285875" cy="1809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</a:rPr>
            <a:t>Autoconhecimento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3</xdr:row>
      <xdr:rowOff>9525</xdr:rowOff>
    </xdr:from>
    <xdr:to>
      <xdr:col>3</xdr:col>
      <xdr:colOff>0</xdr:colOff>
      <xdr:row>4</xdr:row>
      <xdr:rowOff>0</xdr:rowOff>
    </xdr:to>
    <xdr:sp macro="" textlink="">
      <xdr:nvSpPr>
        <xdr:cNvPr id="4" name="Retângulo 3"/>
        <xdr:cNvSpPr/>
      </xdr:nvSpPr>
      <xdr:spPr>
        <a:xfrm>
          <a:off x="1095375" y="3476625"/>
          <a:ext cx="2571750" cy="1628775"/>
        </a:xfrm>
        <a:prstGeom prst="rect">
          <a:avLst/>
        </a:prstGeom>
        <a:solidFill>
          <a:schemeClr val="bg1">
            <a:alpha val="5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9525</xdr:colOff>
      <xdr:row>1</xdr:row>
      <xdr:rowOff>9525</xdr:rowOff>
    </xdr:from>
    <xdr:to>
      <xdr:col>4</xdr:col>
      <xdr:colOff>0</xdr:colOff>
      <xdr:row>2</xdr:row>
      <xdr:rowOff>0</xdr:rowOff>
    </xdr:to>
    <xdr:sp macro="" textlink="">
      <xdr:nvSpPr>
        <xdr:cNvPr id="5" name="Retângulo 4"/>
        <xdr:cNvSpPr/>
      </xdr:nvSpPr>
      <xdr:spPr>
        <a:xfrm>
          <a:off x="5562600" y="200025"/>
          <a:ext cx="2571750" cy="1628775"/>
        </a:xfrm>
        <a:prstGeom prst="rect">
          <a:avLst/>
        </a:prstGeom>
        <a:solidFill>
          <a:schemeClr val="bg1">
            <a:alpha val="5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9525</xdr:colOff>
      <xdr:row>2</xdr:row>
      <xdr:rowOff>9525</xdr:rowOff>
    </xdr:from>
    <xdr:to>
      <xdr:col>5</xdr:col>
      <xdr:colOff>0</xdr:colOff>
      <xdr:row>3</xdr:row>
      <xdr:rowOff>0</xdr:rowOff>
    </xdr:to>
    <xdr:sp macro="" textlink="">
      <xdr:nvSpPr>
        <xdr:cNvPr id="6" name="Retângulo 5"/>
        <xdr:cNvSpPr/>
      </xdr:nvSpPr>
      <xdr:spPr>
        <a:xfrm>
          <a:off x="8143875" y="1838325"/>
          <a:ext cx="2571750" cy="1628775"/>
        </a:xfrm>
        <a:prstGeom prst="rect">
          <a:avLst/>
        </a:prstGeom>
        <a:solidFill>
          <a:schemeClr val="bg1">
            <a:alpha val="5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9525</xdr:colOff>
      <xdr:row>1</xdr:row>
      <xdr:rowOff>9525</xdr:rowOff>
    </xdr:from>
    <xdr:to>
      <xdr:col>5</xdr:col>
      <xdr:colOff>0</xdr:colOff>
      <xdr:row>2</xdr:row>
      <xdr:rowOff>0</xdr:rowOff>
    </xdr:to>
    <xdr:sp macro="" textlink="">
      <xdr:nvSpPr>
        <xdr:cNvPr id="7" name="Retângulo 6"/>
        <xdr:cNvSpPr/>
      </xdr:nvSpPr>
      <xdr:spPr>
        <a:xfrm>
          <a:off x="8143875" y="200025"/>
          <a:ext cx="2571750" cy="1628775"/>
        </a:xfrm>
        <a:prstGeom prst="rect">
          <a:avLst/>
        </a:prstGeom>
        <a:solidFill>
          <a:schemeClr val="bg1">
            <a:alpha val="5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1876425</xdr:colOff>
      <xdr:row>3</xdr:row>
      <xdr:rowOff>428625</xdr:rowOff>
    </xdr:from>
    <xdr:to>
      <xdr:col>2</xdr:col>
      <xdr:colOff>2562225</xdr:colOff>
      <xdr:row>5</xdr:row>
      <xdr:rowOff>42528</xdr:rowOff>
    </xdr:to>
    <xdr:sp macro="" textlink="">
      <xdr:nvSpPr>
        <xdr:cNvPr id="8" name="Text Box 15"/>
        <xdr:cNvSpPr txBox="1">
          <a:spLocks noChangeArrowheads="1"/>
        </xdr:cNvSpPr>
      </xdr:nvSpPr>
      <xdr:spPr bwMode="auto">
        <a:xfrm>
          <a:off x="4848225" y="3895725"/>
          <a:ext cx="685800" cy="14427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>
          <a:spAutoFit/>
        </a:bodyPr>
        <a:lstStyle>
          <a:defPPr>
            <a:defRPr lang="pt-BR"/>
          </a:defPPr>
          <a:lvl1pPr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9pPr>
        </a:lstStyle>
        <a:p>
          <a:pPr algn="l">
            <a:spcBef>
              <a:spcPct val="50000"/>
            </a:spcBef>
          </a:pPr>
          <a:r>
            <a:rPr lang="en-US" sz="8775">
              <a:solidFill>
                <a:srgbClr val="DF7F6E"/>
              </a:solidFill>
              <a:latin typeface="+mj-lt"/>
            </a:rPr>
            <a:t>9</a:t>
          </a:r>
        </a:p>
      </xdr:txBody>
    </xdr:sp>
    <xdr:clientData/>
  </xdr:twoCellAnchor>
  <xdr:twoCellAnchor>
    <xdr:from>
      <xdr:col>2</xdr:col>
      <xdr:colOff>1857375</xdr:colOff>
      <xdr:row>2</xdr:row>
      <xdr:rowOff>428625</xdr:rowOff>
    </xdr:from>
    <xdr:to>
      <xdr:col>2</xdr:col>
      <xdr:colOff>2543175</xdr:colOff>
      <xdr:row>3</xdr:row>
      <xdr:rowOff>233028</xdr:rowOff>
    </xdr:to>
    <xdr:sp macro="" textlink="">
      <xdr:nvSpPr>
        <xdr:cNvPr id="9" name="Text Box 12"/>
        <xdr:cNvSpPr txBox="1">
          <a:spLocks noChangeArrowheads="1"/>
        </xdr:cNvSpPr>
      </xdr:nvSpPr>
      <xdr:spPr bwMode="auto">
        <a:xfrm>
          <a:off x="2943225" y="2257425"/>
          <a:ext cx="685800" cy="14427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>
          <a:spAutoFit/>
        </a:bodyPr>
        <a:lstStyle>
          <a:defPPr>
            <a:defRPr lang="pt-BR"/>
          </a:defPPr>
          <a:lvl1pPr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9pPr>
        </a:lstStyle>
        <a:p>
          <a:pPr algn="l">
            <a:spcBef>
              <a:spcPct val="50000"/>
            </a:spcBef>
          </a:pPr>
          <a:r>
            <a:rPr lang="en-US" sz="8775">
              <a:solidFill>
                <a:srgbClr val="FFEB92"/>
              </a:solidFill>
              <a:latin typeface="+mj-lt"/>
            </a:rPr>
            <a:t>8</a:t>
          </a:r>
        </a:p>
      </xdr:txBody>
    </xdr:sp>
    <xdr:clientData/>
  </xdr:twoCellAnchor>
  <xdr:twoCellAnchor>
    <xdr:from>
      <xdr:col>3</xdr:col>
      <xdr:colOff>9525</xdr:colOff>
      <xdr:row>2</xdr:row>
      <xdr:rowOff>19050</xdr:rowOff>
    </xdr:from>
    <xdr:to>
      <xdr:col>4</xdr:col>
      <xdr:colOff>0</xdr:colOff>
      <xdr:row>3</xdr:row>
      <xdr:rowOff>9525</xdr:rowOff>
    </xdr:to>
    <xdr:sp macro="" textlink="">
      <xdr:nvSpPr>
        <xdr:cNvPr id="12" name="Retângulo 11"/>
        <xdr:cNvSpPr/>
      </xdr:nvSpPr>
      <xdr:spPr>
        <a:xfrm>
          <a:off x="5562600" y="1847850"/>
          <a:ext cx="2571750" cy="1628775"/>
        </a:xfrm>
        <a:prstGeom prst="rect">
          <a:avLst/>
        </a:prstGeom>
        <a:solidFill>
          <a:schemeClr val="bg1">
            <a:alpha val="5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9525</xdr:colOff>
      <xdr:row>3</xdr:row>
      <xdr:rowOff>9525</xdr:rowOff>
    </xdr:from>
    <xdr:to>
      <xdr:col>5</xdr:col>
      <xdr:colOff>0</xdr:colOff>
      <xdr:row>4</xdr:row>
      <xdr:rowOff>0</xdr:rowOff>
    </xdr:to>
    <xdr:sp macro="" textlink="">
      <xdr:nvSpPr>
        <xdr:cNvPr id="13" name="Retângulo 12"/>
        <xdr:cNvSpPr/>
      </xdr:nvSpPr>
      <xdr:spPr>
        <a:xfrm>
          <a:off x="6257925" y="3476625"/>
          <a:ext cx="2571750" cy="1628775"/>
        </a:xfrm>
        <a:prstGeom prst="rect">
          <a:avLst/>
        </a:prstGeom>
        <a:solidFill>
          <a:schemeClr val="bg1">
            <a:alpha val="5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1838325</xdr:colOff>
      <xdr:row>2</xdr:row>
      <xdr:rowOff>457200</xdr:rowOff>
    </xdr:from>
    <xdr:to>
      <xdr:col>3</xdr:col>
      <xdr:colOff>2524125</xdr:colOff>
      <xdr:row>3</xdr:row>
      <xdr:rowOff>261603</xdr:rowOff>
    </xdr:to>
    <xdr:sp macro="" textlink="">
      <xdr:nvSpPr>
        <xdr:cNvPr id="15" name="Text Box 13"/>
        <xdr:cNvSpPr txBox="1">
          <a:spLocks noChangeArrowheads="1"/>
        </xdr:cNvSpPr>
      </xdr:nvSpPr>
      <xdr:spPr bwMode="auto">
        <a:xfrm>
          <a:off x="7391400" y="2286000"/>
          <a:ext cx="685800" cy="14427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>
          <a:spAutoFit/>
        </a:bodyPr>
        <a:lstStyle>
          <a:defPPr>
            <a:defRPr lang="pt-BR"/>
          </a:defPPr>
          <a:lvl1pPr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9pPr>
        </a:lstStyle>
        <a:p>
          <a:pPr algn="l">
            <a:spcBef>
              <a:spcPct val="50000"/>
            </a:spcBef>
          </a:pPr>
          <a:r>
            <a:rPr lang="en-US" sz="8775">
              <a:solidFill>
                <a:srgbClr val="D8E1C6"/>
              </a:solidFill>
              <a:latin typeface="+mj-lt"/>
            </a:rPr>
            <a:t>5</a:t>
          </a:r>
        </a:p>
      </xdr:txBody>
    </xdr:sp>
    <xdr:clientData/>
  </xdr:twoCellAnchor>
  <xdr:twoCellAnchor>
    <xdr:from>
      <xdr:col>3</xdr:col>
      <xdr:colOff>1847850</xdr:colOff>
      <xdr:row>1</xdr:row>
      <xdr:rowOff>466725</xdr:rowOff>
    </xdr:from>
    <xdr:to>
      <xdr:col>3</xdr:col>
      <xdr:colOff>2533650</xdr:colOff>
      <xdr:row>2</xdr:row>
      <xdr:rowOff>271128</xdr:rowOff>
    </xdr:to>
    <xdr:sp macro="" textlink="">
      <xdr:nvSpPr>
        <xdr:cNvPr id="16" name="Text Box 19"/>
        <xdr:cNvSpPr txBox="1">
          <a:spLocks noChangeArrowheads="1"/>
        </xdr:cNvSpPr>
      </xdr:nvSpPr>
      <xdr:spPr bwMode="auto">
        <a:xfrm>
          <a:off x="7400925" y="657225"/>
          <a:ext cx="685800" cy="14427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>
          <a:spAutoFit/>
        </a:bodyPr>
        <a:lstStyle>
          <a:defPPr>
            <a:defRPr lang="pt-BR"/>
          </a:defPPr>
          <a:lvl1pPr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9pPr>
        </a:lstStyle>
        <a:p>
          <a:pPr algn="l">
            <a:spcBef>
              <a:spcPct val="50000"/>
            </a:spcBef>
          </a:pPr>
          <a:r>
            <a:rPr lang="en-US" sz="8775">
              <a:solidFill>
                <a:srgbClr val="D1DDE9"/>
              </a:solidFill>
              <a:latin typeface="+mj-lt"/>
            </a:rPr>
            <a:t>3</a:t>
          </a:r>
        </a:p>
      </xdr:txBody>
    </xdr:sp>
    <xdr:clientData/>
  </xdr:twoCellAnchor>
  <xdr:twoCellAnchor>
    <xdr:from>
      <xdr:col>4</xdr:col>
      <xdr:colOff>1838325</xdr:colOff>
      <xdr:row>1</xdr:row>
      <xdr:rowOff>476250</xdr:rowOff>
    </xdr:from>
    <xdr:to>
      <xdr:col>4</xdr:col>
      <xdr:colOff>2524125</xdr:colOff>
      <xdr:row>2</xdr:row>
      <xdr:rowOff>280653</xdr:rowOff>
    </xdr:to>
    <xdr:sp macro="" textlink="">
      <xdr:nvSpPr>
        <xdr:cNvPr id="17" name="Text Box 20"/>
        <xdr:cNvSpPr txBox="1">
          <a:spLocks noChangeArrowheads="1"/>
        </xdr:cNvSpPr>
      </xdr:nvSpPr>
      <xdr:spPr bwMode="auto">
        <a:xfrm>
          <a:off x="9972675" y="666750"/>
          <a:ext cx="685800" cy="14427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>
          <a:spAutoFit/>
        </a:bodyPr>
        <a:lstStyle>
          <a:defPPr>
            <a:defRPr lang="pt-BR"/>
          </a:defPPr>
          <a:lvl1pPr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9pPr>
        </a:lstStyle>
        <a:p>
          <a:pPr algn="l">
            <a:spcBef>
              <a:spcPct val="50000"/>
            </a:spcBef>
          </a:pPr>
          <a:r>
            <a:rPr lang="en-US" sz="8775">
              <a:solidFill>
                <a:srgbClr val="D1DDE9"/>
              </a:solidFill>
              <a:latin typeface="+mj-lt"/>
            </a:rPr>
            <a:t>1</a:t>
          </a:r>
        </a:p>
      </xdr:txBody>
    </xdr:sp>
    <xdr:clientData/>
  </xdr:twoCellAnchor>
  <xdr:twoCellAnchor>
    <xdr:from>
      <xdr:col>4</xdr:col>
      <xdr:colOff>1819275</xdr:colOff>
      <xdr:row>2</xdr:row>
      <xdr:rowOff>457200</xdr:rowOff>
    </xdr:from>
    <xdr:to>
      <xdr:col>4</xdr:col>
      <xdr:colOff>2505075</xdr:colOff>
      <xdr:row>3</xdr:row>
      <xdr:rowOff>261603</xdr:rowOff>
    </xdr:to>
    <xdr:sp macro="" textlink="">
      <xdr:nvSpPr>
        <xdr:cNvPr id="18" name="Text Box 14"/>
        <xdr:cNvSpPr txBox="1">
          <a:spLocks noChangeArrowheads="1"/>
        </xdr:cNvSpPr>
      </xdr:nvSpPr>
      <xdr:spPr bwMode="auto">
        <a:xfrm>
          <a:off x="9953625" y="2286000"/>
          <a:ext cx="685800" cy="14427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>
          <a:spAutoFit/>
        </a:bodyPr>
        <a:lstStyle>
          <a:defPPr>
            <a:defRPr lang="pt-BR"/>
          </a:defPPr>
          <a:lvl1pPr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9pPr>
        </a:lstStyle>
        <a:p>
          <a:pPr algn="l">
            <a:spcBef>
              <a:spcPct val="50000"/>
            </a:spcBef>
          </a:pPr>
          <a:r>
            <a:rPr lang="en-US" sz="8775">
              <a:solidFill>
                <a:srgbClr val="D1DDE9"/>
              </a:solidFill>
              <a:latin typeface="+mj-lt"/>
            </a:rPr>
            <a:t>2</a:t>
          </a:r>
        </a:p>
      </xdr:txBody>
    </xdr:sp>
    <xdr:clientData/>
  </xdr:twoCellAnchor>
  <xdr:twoCellAnchor>
    <xdr:from>
      <xdr:col>4</xdr:col>
      <xdr:colOff>1847850</xdr:colOff>
      <xdr:row>3</xdr:row>
      <xdr:rowOff>457200</xdr:rowOff>
    </xdr:from>
    <xdr:to>
      <xdr:col>4</xdr:col>
      <xdr:colOff>2533650</xdr:colOff>
      <xdr:row>5</xdr:row>
      <xdr:rowOff>71103</xdr:rowOff>
    </xdr:to>
    <xdr:sp macro="" textlink="">
      <xdr:nvSpPr>
        <xdr:cNvPr id="19" name="Text Box 17"/>
        <xdr:cNvSpPr txBox="1">
          <a:spLocks noChangeArrowheads="1"/>
        </xdr:cNvSpPr>
      </xdr:nvSpPr>
      <xdr:spPr bwMode="auto">
        <a:xfrm>
          <a:off x="9982200" y="3924300"/>
          <a:ext cx="685800" cy="14427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>
          <a:spAutoFit/>
        </a:bodyPr>
        <a:lstStyle>
          <a:defPPr>
            <a:defRPr lang="pt-BR"/>
          </a:defPPr>
          <a:lvl1pPr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9pPr>
        </a:lstStyle>
        <a:p>
          <a:pPr algn="l">
            <a:spcBef>
              <a:spcPct val="50000"/>
            </a:spcBef>
          </a:pPr>
          <a:r>
            <a:rPr lang="en-US" sz="8775">
              <a:solidFill>
                <a:srgbClr val="D8E1C6"/>
              </a:solidFill>
              <a:latin typeface="+mj-lt"/>
            </a:rPr>
            <a:t>4</a:t>
          </a:r>
        </a:p>
      </xdr:txBody>
    </xdr:sp>
    <xdr:clientData/>
  </xdr:twoCellAnchor>
  <xdr:twoCellAnchor>
    <xdr:from>
      <xdr:col>1</xdr:col>
      <xdr:colOff>323851</xdr:colOff>
      <xdr:row>0</xdr:row>
      <xdr:rowOff>104774</xdr:rowOff>
    </xdr:from>
    <xdr:to>
      <xdr:col>1</xdr:col>
      <xdr:colOff>466725</xdr:colOff>
      <xdr:row>4</xdr:row>
      <xdr:rowOff>28575</xdr:rowOff>
    </xdr:to>
    <xdr:sp macro="" textlink="">
      <xdr:nvSpPr>
        <xdr:cNvPr id="20" name="Seta para cima 19"/>
        <xdr:cNvSpPr/>
      </xdr:nvSpPr>
      <xdr:spPr>
        <a:xfrm>
          <a:off x="933451" y="104774"/>
          <a:ext cx="142874" cy="5029201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362712</xdr:colOff>
      <xdr:row>4</xdr:row>
      <xdr:rowOff>19051</xdr:rowOff>
    </xdr:from>
    <xdr:to>
      <xdr:col>5</xdr:col>
      <xdr:colOff>104775</xdr:colOff>
      <xdr:row>4</xdr:row>
      <xdr:rowOff>142876</xdr:rowOff>
    </xdr:to>
    <xdr:sp macro="" textlink="">
      <xdr:nvSpPr>
        <xdr:cNvPr id="21" name="Seta para cima 20"/>
        <xdr:cNvSpPr/>
      </xdr:nvSpPr>
      <xdr:spPr>
        <a:xfrm rot="5400000">
          <a:off x="4891468" y="1205295"/>
          <a:ext cx="123825" cy="796213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</xdr:col>
      <xdr:colOff>533400</xdr:colOff>
      <xdr:row>1</xdr:row>
      <xdr:rowOff>123825</xdr:rowOff>
    </xdr:from>
    <xdr:to>
      <xdr:col>8</xdr:col>
      <xdr:colOff>154935</xdr:colOff>
      <xdr:row>1</xdr:row>
      <xdr:rowOff>976175</xdr:rowOff>
    </xdr:to>
    <xdr:pic>
      <xdr:nvPicPr>
        <xdr:cNvPr id="22" name="Picture 2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5034"/>
        <a:stretch/>
      </xdr:blipFill>
      <xdr:spPr bwMode="auto">
        <a:xfrm>
          <a:off x="9363075" y="314325"/>
          <a:ext cx="1450335" cy="852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19050</xdr:colOff>
      <xdr:row>3</xdr:row>
      <xdr:rowOff>9525</xdr:rowOff>
    </xdr:from>
    <xdr:to>
      <xdr:col>4</xdr:col>
      <xdr:colOff>9525</xdr:colOff>
      <xdr:row>4</xdr:row>
      <xdr:rowOff>0</xdr:rowOff>
    </xdr:to>
    <xdr:sp macro="" textlink="">
      <xdr:nvSpPr>
        <xdr:cNvPr id="23" name="Retângulo 22"/>
        <xdr:cNvSpPr/>
      </xdr:nvSpPr>
      <xdr:spPr>
        <a:xfrm>
          <a:off x="3686175" y="3476625"/>
          <a:ext cx="2571750" cy="1628775"/>
        </a:xfrm>
        <a:prstGeom prst="rect">
          <a:avLst/>
        </a:prstGeom>
        <a:solidFill>
          <a:schemeClr val="bg1">
            <a:alpha val="5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1866900</xdr:colOff>
      <xdr:row>3</xdr:row>
      <xdr:rowOff>447675</xdr:rowOff>
    </xdr:from>
    <xdr:to>
      <xdr:col>3</xdr:col>
      <xdr:colOff>2552700</xdr:colOff>
      <xdr:row>5</xdr:row>
      <xdr:rowOff>61578</xdr:rowOff>
    </xdr:to>
    <xdr:sp macro="" textlink="">
      <xdr:nvSpPr>
        <xdr:cNvPr id="24" name="Text Box 17"/>
        <xdr:cNvSpPr txBox="1">
          <a:spLocks noChangeArrowheads="1"/>
        </xdr:cNvSpPr>
      </xdr:nvSpPr>
      <xdr:spPr bwMode="auto">
        <a:xfrm>
          <a:off x="5534025" y="3914775"/>
          <a:ext cx="685800" cy="14427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>
          <a:spAutoFit/>
        </a:bodyPr>
        <a:lstStyle>
          <a:defPPr>
            <a:defRPr lang="pt-BR"/>
          </a:defPPr>
          <a:lvl1pPr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9pPr>
        </a:lstStyle>
        <a:p>
          <a:pPr algn="l">
            <a:spcBef>
              <a:spcPct val="50000"/>
            </a:spcBef>
          </a:pPr>
          <a:r>
            <a:rPr lang="en-US" sz="8775">
              <a:solidFill>
                <a:srgbClr val="D8E1C6"/>
              </a:solidFill>
              <a:latin typeface="+mj-lt"/>
            </a:rPr>
            <a:t>6</a:t>
          </a:r>
        </a:p>
      </xdr:txBody>
    </xdr:sp>
    <xdr:clientData/>
  </xdr:twoCellAnchor>
  <xdr:twoCellAnchor>
    <xdr:from>
      <xdr:col>2</xdr:col>
      <xdr:colOff>1838325</xdr:colOff>
      <xdr:row>1</xdr:row>
      <xdr:rowOff>447675</xdr:rowOff>
    </xdr:from>
    <xdr:to>
      <xdr:col>2</xdr:col>
      <xdr:colOff>2524125</xdr:colOff>
      <xdr:row>2</xdr:row>
      <xdr:rowOff>252078</xdr:rowOff>
    </xdr:to>
    <xdr:sp macro="" textlink="">
      <xdr:nvSpPr>
        <xdr:cNvPr id="25" name="Text Box 12"/>
        <xdr:cNvSpPr txBox="1">
          <a:spLocks noChangeArrowheads="1"/>
        </xdr:cNvSpPr>
      </xdr:nvSpPr>
      <xdr:spPr bwMode="auto">
        <a:xfrm>
          <a:off x="2924175" y="638175"/>
          <a:ext cx="685800" cy="14427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>
          <a:spAutoFit/>
        </a:bodyPr>
        <a:lstStyle>
          <a:defPPr>
            <a:defRPr lang="pt-BR"/>
          </a:defPPr>
          <a:lvl1pPr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400" b="1"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9pPr>
        </a:lstStyle>
        <a:p>
          <a:pPr algn="l">
            <a:spcBef>
              <a:spcPct val="50000"/>
            </a:spcBef>
          </a:pPr>
          <a:r>
            <a:rPr lang="en-US" sz="8775">
              <a:solidFill>
                <a:srgbClr val="FFEB92"/>
              </a:solidFill>
              <a:latin typeface="+mj-lt"/>
            </a:rPr>
            <a:t>7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54" Type="http://schemas.openxmlformats.org/officeDocument/2006/relationships/ctrlProp" Target="../ctrlProps/ctrlProp151.xml"/><Relationship Id="rId159" Type="http://schemas.openxmlformats.org/officeDocument/2006/relationships/ctrlProp" Target="../ctrlProps/ctrlProp156.xml"/><Relationship Id="rId175" Type="http://schemas.openxmlformats.org/officeDocument/2006/relationships/ctrlProp" Target="../ctrlProps/ctrlProp172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196" Type="http://schemas.openxmlformats.org/officeDocument/2006/relationships/ctrlProp" Target="../ctrlProps/ctrlProp193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65" Type="http://schemas.openxmlformats.org/officeDocument/2006/relationships/ctrlProp" Target="../ctrlProps/ctrlProp162.xml"/><Relationship Id="rId181" Type="http://schemas.openxmlformats.org/officeDocument/2006/relationships/ctrlProp" Target="../ctrlProps/ctrlProp178.xml"/><Relationship Id="rId186" Type="http://schemas.openxmlformats.org/officeDocument/2006/relationships/ctrlProp" Target="../ctrlProps/ctrlProp183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71" Type="http://schemas.openxmlformats.org/officeDocument/2006/relationships/ctrlProp" Target="../ctrlProps/ctrlProp168.xml"/><Relationship Id="rId176" Type="http://schemas.openxmlformats.org/officeDocument/2006/relationships/ctrlProp" Target="../ctrlProps/ctrlProp173.xml"/><Relationship Id="rId192" Type="http://schemas.openxmlformats.org/officeDocument/2006/relationships/ctrlProp" Target="../ctrlProps/ctrlProp189.xml"/><Relationship Id="rId197" Type="http://schemas.openxmlformats.org/officeDocument/2006/relationships/ctrlProp" Target="../ctrlProps/ctrlProp19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61" Type="http://schemas.openxmlformats.org/officeDocument/2006/relationships/ctrlProp" Target="../ctrlProps/ctrlProp158.xml"/><Relationship Id="rId166" Type="http://schemas.openxmlformats.org/officeDocument/2006/relationships/ctrlProp" Target="../ctrlProps/ctrlProp163.xml"/><Relationship Id="rId182" Type="http://schemas.openxmlformats.org/officeDocument/2006/relationships/ctrlProp" Target="../ctrlProps/ctrlProp179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190" Type="http://schemas.openxmlformats.org/officeDocument/2006/relationships/ctrlProp" Target="../ctrlProps/ctrlProp187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6" Type="http://schemas.openxmlformats.org/officeDocument/2006/relationships/ctrlProp" Target="../ctrlProps/ctrlProp23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4.xml"/><Relationship Id="rId18" Type="http://schemas.openxmlformats.org/officeDocument/2006/relationships/ctrlProp" Target="../ctrlProps/ctrlProp209.xml"/><Relationship Id="rId26" Type="http://schemas.openxmlformats.org/officeDocument/2006/relationships/ctrlProp" Target="../ctrlProps/ctrlProp217.xml"/><Relationship Id="rId39" Type="http://schemas.openxmlformats.org/officeDocument/2006/relationships/ctrlProp" Target="../ctrlProps/ctrlProp230.xml"/><Relationship Id="rId21" Type="http://schemas.openxmlformats.org/officeDocument/2006/relationships/ctrlProp" Target="../ctrlProps/ctrlProp212.xml"/><Relationship Id="rId34" Type="http://schemas.openxmlformats.org/officeDocument/2006/relationships/ctrlProp" Target="../ctrlProps/ctrlProp225.xml"/><Relationship Id="rId42" Type="http://schemas.openxmlformats.org/officeDocument/2006/relationships/ctrlProp" Target="../ctrlProps/ctrlProp233.xml"/><Relationship Id="rId47" Type="http://schemas.openxmlformats.org/officeDocument/2006/relationships/ctrlProp" Target="../ctrlProps/ctrlProp238.xml"/><Relationship Id="rId50" Type="http://schemas.openxmlformats.org/officeDocument/2006/relationships/ctrlProp" Target="../ctrlProps/ctrlProp241.xml"/><Relationship Id="rId55" Type="http://schemas.openxmlformats.org/officeDocument/2006/relationships/ctrlProp" Target="../ctrlProps/ctrlProp246.xml"/><Relationship Id="rId63" Type="http://schemas.openxmlformats.org/officeDocument/2006/relationships/ctrlProp" Target="../ctrlProps/ctrlProp254.xml"/><Relationship Id="rId7" Type="http://schemas.openxmlformats.org/officeDocument/2006/relationships/ctrlProp" Target="../ctrlProps/ctrlProp19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207.xml"/><Relationship Id="rId20" Type="http://schemas.openxmlformats.org/officeDocument/2006/relationships/ctrlProp" Target="../ctrlProps/ctrlProp211.xml"/><Relationship Id="rId29" Type="http://schemas.openxmlformats.org/officeDocument/2006/relationships/ctrlProp" Target="../ctrlProps/ctrlProp220.xml"/><Relationship Id="rId41" Type="http://schemas.openxmlformats.org/officeDocument/2006/relationships/ctrlProp" Target="../ctrlProps/ctrlProp232.xml"/><Relationship Id="rId54" Type="http://schemas.openxmlformats.org/officeDocument/2006/relationships/ctrlProp" Target="../ctrlProps/ctrlProp245.xml"/><Relationship Id="rId62" Type="http://schemas.openxmlformats.org/officeDocument/2006/relationships/ctrlProp" Target="../ctrlProps/ctrlProp25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7.xml"/><Relationship Id="rId11" Type="http://schemas.openxmlformats.org/officeDocument/2006/relationships/ctrlProp" Target="../ctrlProps/ctrlProp202.xml"/><Relationship Id="rId24" Type="http://schemas.openxmlformats.org/officeDocument/2006/relationships/ctrlProp" Target="../ctrlProps/ctrlProp215.xml"/><Relationship Id="rId32" Type="http://schemas.openxmlformats.org/officeDocument/2006/relationships/ctrlProp" Target="../ctrlProps/ctrlProp223.xml"/><Relationship Id="rId37" Type="http://schemas.openxmlformats.org/officeDocument/2006/relationships/ctrlProp" Target="../ctrlProps/ctrlProp228.xml"/><Relationship Id="rId40" Type="http://schemas.openxmlformats.org/officeDocument/2006/relationships/ctrlProp" Target="../ctrlProps/ctrlProp231.xml"/><Relationship Id="rId45" Type="http://schemas.openxmlformats.org/officeDocument/2006/relationships/ctrlProp" Target="../ctrlProps/ctrlProp236.xml"/><Relationship Id="rId53" Type="http://schemas.openxmlformats.org/officeDocument/2006/relationships/ctrlProp" Target="../ctrlProps/ctrlProp244.xml"/><Relationship Id="rId58" Type="http://schemas.openxmlformats.org/officeDocument/2006/relationships/ctrlProp" Target="../ctrlProps/ctrlProp249.xml"/><Relationship Id="rId5" Type="http://schemas.openxmlformats.org/officeDocument/2006/relationships/ctrlProp" Target="../ctrlProps/ctrlProp196.xml"/><Relationship Id="rId15" Type="http://schemas.openxmlformats.org/officeDocument/2006/relationships/ctrlProp" Target="../ctrlProps/ctrlProp206.xml"/><Relationship Id="rId23" Type="http://schemas.openxmlformats.org/officeDocument/2006/relationships/ctrlProp" Target="../ctrlProps/ctrlProp214.xml"/><Relationship Id="rId28" Type="http://schemas.openxmlformats.org/officeDocument/2006/relationships/ctrlProp" Target="../ctrlProps/ctrlProp219.xml"/><Relationship Id="rId36" Type="http://schemas.openxmlformats.org/officeDocument/2006/relationships/ctrlProp" Target="../ctrlProps/ctrlProp227.xml"/><Relationship Id="rId49" Type="http://schemas.openxmlformats.org/officeDocument/2006/relationships/ctrlProp" Target="../ctrlProps/ctrlProp240.xml"/><Relationship Id="rId57" Type="http://schemas.openxmlformats.org/officeDocument/2006/relationships/ctrlProp" Target="../ctrlProps/ctrlProp248.xml"/><Relationship Id="rId61" Type="http://schemas.openxmlformats.org/officeDocument/2006/relationships/ctrlProp" Target="../ctrlProps/ctrlProp252.xml"/><Relationship Id="rId10" Type="http://schemas.openxmlformats.org/officeDocument/2006/relationships/ctrlProp" Target="../ctrlProps/ctrlProp201.xml"/><Relationship Id="rId19" Type="http://schemas.openxmlformats.org/officeDocument/2006/relationships/ctrlProp" Target="../ctrlProps/ctrlProp210.xml"/><Relationship Id="rId31" Type="http://schemas.openxmlformats.org/officeDocument/2006/relationships/ctrlProp" Target="../ctrlProps/ctrlProp222.xml"/><Relationship Id="rId44" Type="http://schemas.openxmlformats.org/officeDocument/2006/relationships/ctrlProp" Target="../ctrlProps/ctrlProp235.xml"/><Relationship Id="rId52" Type="http://schemas.openxmlformats.org/officeDocument/2006/relationships/ctrlProp" Target="../ctrlProps/ctrlProp243.xml"/><Relationship Id="rId60" Type="http://schemas.openxmlformats.org/officeDocument/2006/relationships/ctrlProp" Target="../ctrlProps/ctrlProp251.xml"/><Relationship Id="rId4" Type="http://schemas.openxmlformats.org/officeDocument/2006/relationships/ctrlProp" Target="../ctrlProps/ctrlProp195.xml"/><Relationship Id="rId9" Type="http://schemas.openxmlformats.org/officeDocument/2006/relationships/ctrlProp" Target="../ctrlProps/ctrlProp200.xml"/><Relationship Id="rId14" Type="http://schemas.openxmlformats.org/officeDocument/2006/relationships/ctrlProp" Target="../ctrlProps/ctrlProp205.xml"/><Relationship Id="rId22" Type="http://schemas.openxmlformats.org/officeDocument/2006/relationships/ctrlProp" Target="../ctrlProps/ctrlProp213.xml"/><Relationship Id="rId27" Type="http://schemas.openxmlformats.org/officeDocument/2006/relationships/ctrlProp" Target="../ctrlProps/ctrlProp218.xml"/><Relationship Id="rId30" Type="http://schemas.openxmlformats.org/officeDocument/2006/relationships/ctrlProp" Target="../ctrlProps/ctrlProp221.xml"/><Relationship Id="rId35" Type="http://schemas.openxmlformats.org/officeDocument/2006/relationships/ctrlProp" Target="../ctrlProps/ctrlProp226.xml"/><Relationship Id="rId43" Type="http://schemas.openxmlformats.org/officeDocument/2006/relationships/ctrlProp" Target="../ctrlProps/ctrlProp234.xml"/><Relationship Id="rId48" Type="http://schemas.openxmlformats.org/officeDocument/2006/relationships/ctrlProp" Target="../ctrlProps/ctrlProp239.xml"/><Relationship Id="rId56" Type="http://schemas.openxmlformats.org/officeDocument/2006/relationships/ctrlProp" Target="../ctrlProps/ctrlProp247.xml"/><Relationship Id="rId8" Type="http://schemas.openxmlformats.org/officeDocument/2006/relationships/ctrlProp" Target="../ctrlProps/ctrlProp199.xml"/><Relationship Id="rId51" Type="http://schemas.openxmlformats.org/officeDocument/2006/relationships/ctrlProp" Target="../ctrlProps/ctrlProp242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03.xml"/><Relationship Id="rId17" Type="http://schemas.openxmlformats.org/officeDocument/2006/relationships/ctrlProp" Target="../ctrlProps/ctrlProp208.xml"/><Relationship Id="rId25" Type="http://schemas.openxmlformats.org/officeDocument/2006/relationships/ctrlProp" Target="../ctrlProps/ctrlProp216.xml"/><Relationship Id="rId33" Type="http://schemas.openxmlformats.org/officeDocument/2006/relationships/ctrlProp" Target="../ctrlProps/ctrlProp224.xml"/><Relationship Id="rId38" Type="http://schemas.openxmlformats.org/officeDocument/2006/relationships/ctrlProp" Target="../ctrlProps/ctrlProp229.xml"/><Relationship Id="rId46" Type="http://schemas.openxmlformats.org/officeDocument/2006/relationships/ctrlProp" Target="../ctrlProps/ctrlProp237.xml"/><Relationship Id="rId59" Type="http://schemas.openxmlformats.org/officeDocument/2006/relationships/ctrlProp" Target="../ctrlProps/ctrlProp250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Y25"/>
  <sheetViews>
    <sheetView topLeftCell="M1" workbookViewId="0">
      <selection activeCell="U2" sqref="U2"/>
    </sheetView>
  </sheetViews>
  <sheetFormatPr defaultRowHeight="15" x14ac:dyDescent="0.25"/>
  <cols>
    <col min="11" max="11" width="4" bestFit="1" customWidth="1"/>
    <col min="17" max="17" width="2" customWidth="1"/>
    <col min="21" max="21" width="48.140625" bestFit="1" customWidth="1"/>
  </cols>
  <sheetData>
    <row r="1" spans="1:25" x14ac:dyDescent="0.25">
      <c r="A1" s="2" t="s">
        <v>0</v>
      </c>
      <c r="I1" t="s">
        <v>5</v>
      </c>
      <c r="J1">
        <v>100</v>
      </c>
      <c r="K1">
        <f>J1+133</f>
        <v>233</v>
      </c>
      <c r="L1">
        <v>100</v>
      </c>
      <c r="Q1" s="4"/>
      <c r="S1" t="s">
        <v>16</v>
      </c>
      <c r="U1" t="s">
        <v>17</v>
      </c>
      <c r="W1">
        <v>0</v>
      </c>
      <c r="X1">
        <v>1</v>
      </c>
      <c r="Y1">
        <v>2</v>
      </c>
    </row>
    <row r="2" spans="1:25" x14ac:dyDescent="0.25">
      <c r="A2" s="2" t="s">
        <v>1</v>
      </c>
      <c r="J2">
        <v>234</v>
      </c>
      <c r="K2">
        <f>J2+133</f>
        <v>367</v>
      </c>
      <c r="L2">
        <v>300</v>
      </c>
      <c r="Q2" s="4"/>
      <c r="U2" t="s">
        <v>18</v>
      </c>
    </row>
    <row r="3" spans="1:25" x14ac:dyDescent="0.25">
      <c r="A3" s="2" t="s">
        <v>2</v>
      </c>
      <c r="J3">
        <v>368</v>
      </c>
      <c r="K3">
        <f>J3+133</f>
        <v>501</v>
      </c>
      <c r="L3">
        <v>500</v>
      </c>
      <c r="Q3" s="4"/>
    </row>
    <row r="4" spans="1:25" x14ac:dyDescent="0.25">
      <c r="A4" s="2" t="s">
        <v>3</v>
      </c>
      <c r="Q4" s="4"/>
      <c r="U4" t="s">
        <v>19</v>
      </c>
    </row>
    <row r="5" spans="1:25" ht="15.75" x14ac:dyDescent="0.25">
      <c r="A5" s="1" t="s">
        <v>4</v>
      </c>
      <c r="I5" t="s">
        <v>7</v>
      </c>
      <c r="J5">
        <v>100</v>
      </c>
      <c r="L5" t="s">
        <v>8</v>
      </c>
      <c r="Q5" s="4"/>
    </row>
    <row r="6" spans="1:25" x14ac:dyDescent="0.25">
      <c r="J6">
        <v>233</v>
      </c>
      <c r="L6" t="s">
        <v>9</v>
      </c>
      <c r="Q6" s="4"/>
    </row>
    <row r="7" spans="1:25" x14ac:dyDescent="0.25">
      <c r="J7">
        <v>367</v>
      </c>
      <c r="L7" t="s">
        <v>10</v>
      </c>
      <c r="Q7" s="4"/>
    </row>
    <row r="8" spans="1:25" x14ac:dyDescent="0.25">
      <c r="J8">
        <v>500</v>
      </c>
      <c r="L8" t="s">
        <v>6</v>
      </c>
      <c r="Q8" s="4"/>
    </row>
    <row r="9" spans="1:25" x14ac:dyDescent="0.25">
      <c r="I9" t="s">
        <v>14</v>
      </c>
      <c r="Q9" s="4"/>
    </row>
    <row r="10" spans="1:25" x14ac:dyDescent="0.25">
      <c r="Q10" s="4"/>
    </row>
    <row r="11" spans="1:25" x14ac:dyDescent="0.25">
      <c r="N11">
        <v>100</v>
      </c>
      <c r="Q11" s="4"/>
    </row>
    <row r="12" spans="1:25" x14ac:dyDescent="0.25">
      <c r="N12">
        <v>367</v>
      </c>
      <c r="Q12" s="4"/>
    </row>
    <row r="13" spans="1:25" x14ac:dyDescent="0.25">
      <c r="N13">
        <v>500</v>
      </c>
      <c r="Q13" s="4"/>
    </row>
    <row r="14" spans="1:25" x14ac:dyDescent="0.25">
      <c r="I14" s="3"/>
      <c r="J14" s="3"/>
      <c r="N14">
        <v>100</v>
      </c>
      <c r="Q14" s="4"/>
    </row>
    <row r="15" spans="1:25" x14ac:dyDescent="0.25">
      <c r="I15" s="3"/>
      <c r="N15">
        <v>367</v>
      </c>
      <c r="Q15" s="4"/>
    </row>
    <row r="16" spans="1:25" x14ac:dyDescent="0.25">
      <c r="N16">
        <v>500</v>
      </c>
      <c r="Q16" s="4"/>
    </row>
    <row r="17" spans="9:17" x14ac:dyDescent="0.25">
      <c r="N17">
        <v>233</v>
      </c>
      <c r="Q17" s="4"/>
    </row>
    <row r="18" spans="9:17" x14ac:dyDescent="0.25">
      <c r="Q18" s="4"/>
    </row>
    <row r="19" spans="9:17" x14ac:dyDescent="0.25">
      <c r="N19">
        <v>309</v>
      </c>
      <c r="O19" t="s">
        <v>11</v>
      </c>
      <c r="Q19" s="4"/>
    </row>
    <row r="20" spans="9:17" x14ac:dyDescent="0.25">
      <c r="N20">
        <v>126</v>
      </c>
      <c r="O20" t="s">
        <v>13</v>
      </c>
      <c r="Q20" s="4"/>
    </row>
    <row r="21" spans="9:17" x14ac:dyDescent="0.25">
      <c r="N21">
        <v>217</v>
      </c>
      <c r="O21" t="s">
        <v>13</v>
      </c>
      <c r="Q21" s="4"/>
    </row>
    <row r="22" spans="9:17" x14ac:dyDescent="0.25">
      <c r="Q22" s="4"/>
    </row>
    <row r="23" spans="9:17" x14ac:dyDescent="0.25">
      <c r="I23" t="s">
        <v>15</v>
      </c>
      <c r="Q23" s="4"/>
    </row>
    <row r="24" spans="9:17" x14ac:dyDescent="0.25">
      <c r="Q24" s="4"/>
    </row>
    <row r="25" spans="9:17" x14ac:dyDescent="0.25">
      <c r="Q25" s="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50"/>
  <sheetViews>
    <sheetView showGridLines="0" tabSelected="1" workbookViewId="0">
      <selection activeCell="B2" sqref="B2:I2"/>
    </sheetView>
  </sheetViews>
  <sheetFormatPr defaultRowHeight="15" x14ac:dyDescent="0.25"/>
  <cols>
    <col min="1" max="1" width="7.28515625" customWidth="1"/>
    <col min="2" max="2" width="24.42578125" customWidth="1"/>
    <col min="3" max="3" width="20" customWidth="1"/>
    <col min="4" max="4" width="18.85546875" bestFit="1" customWidth="1"/>
    <col min="8" max="8" width="10.7109375" customWidth="1"/>
    <col min="9" max="9" width="14.140625" customWidth="1"/>
  </cols>
  <sheetData>
    <row r="2" spans="2:9" x14ac:dyDescent="0.25">
      <c r="B2" s="107" t="s">
        <v>42</v>
      </c>
      <c r="C2" s="107"/>
      <c r="D2" s="107"/>
      <c r="E2" s="107"/>
      <c r="F2" s="107"/>
      <c r="G2" s="107"/>
      <c r="H2" s="107"/>
      <c r="I2" s="107"/>
    </row>
    <row r="4" spans="2:9" x14ac:dyDescent="0.25">
      <c r="B4" t="s">
        <v>71</v>
      </c>
    </row>
    <row r="5" spans="2:9" x14ac:dyDescent="0.25">
      <c r="B5" t="s">
        <v>70</v>
      </c>
    </row>
    <row r="6" spans="2:9" x14ac:dyDescent="0.25">
      <c r="B6" s="109" t="s">
        <v>58</v>
      </c>
      <c r="C6" s="109"/>
      <c r="D6" s="110" t="s">
        <v>57</v>
      </c>
    </row>
    <row r="7" spans="2:9" x14ac:dyDescent="0.25">
      <c r="B7" s="12" t="s">
        <v>55</v>
      </c>
      <c r="C7" s="12" t="s">
        <v>56</v>
      </c>
      <c r="D7" s="110"/>
    </row>
    <row r="8" spans="2:9" x14ac:dyDescent="0.25">
      <c r="B8" s="21">
        <v>100</v>
      </c>
      <c r="C8" s="21">
        <v>279</v>
      </c>
      <c r="D8" s="21" t="s">
        <v>44</v>
      </c>
    </row>
    <row r="9" spans="2:9" x14ac:dyDescent="0.25">
      <c r="B9" s="21">
        <v>280</v>
      </c>
      <c r="C9" s="21">
        <v>380</v>
      </c>
      <c r="D9" s="104" t="s">
        <v>54</v>
      </c>
    </row>
    <row r="10" spans="2:9" x14ac:dyDescent="0.25">
      <c r="B10" s="21">
        <v>381</v>
      </c>
      <c r="C10" s="21">
        <v>500</v>
      </c>
      <c r="D10" s="104" t="s">
        <v>45</v>
      </c>
    </row>
    <row r="12" spans="2:9" x14ac:dyDescent="0.25">
      <c r="B12" t="s">
        <v>144</v>
      </c>
    </row>
    <row r="13" spans="2:9" x14ac:dyDescent="0.25">
      <c r="B13" t="s">
        <v>150</v>
      </c>
    </row>
    <row r="14" spans="2:9" ht="27.75" customHeight="1" x14ac:dyDescent="0.25">
      <c r="B14" s="25" t="s">
        <v>147</v>
      </c>
      <c r="C14" s="25" t="s">
        <v>59</v>
      </c>
    </row>
    <row r="15" spans="2:9" x14ac:dyDescent="0.25">
      <c r="B15" s="23" t="s">
        <v>22</v>
      </c>
      <c r="C15" s="22">
        <v>100</v>
      </c>
    </row>
    <row r="16" spans="2:9" x14ac:dyDescent="0.25">
      <c r="B16" s="23" t="s">
        <v>9</v>
      </c>
      <c r="C16" s="22">
        <v>233</v>
      </c>
    </row>
    <row r="17" spans="2:9" x14ac:dyDescent="0.25">
      <c r="B17" s="23" t="s">
        <v>23</v>
      </c>
      <c r="C17" s="22">
        <v>367</v>
      </c>
    </row>
    <row r="18" spans="2:9" x14ac:dyDescent="0.25">
      <c r="B18" s="23" t="s">
        <v>4</v>
      </c>
      <c r="C18" s="22">
        <v>500</v>
      </c>
    </row>
    <row r="19" spans="2:9" ht="24.75" customHeight="1" x14ac:dyDescent="0.25">
      <c r="B19" s="26" t="s">
        <v>217</v>
      </c>
      <c r="C19" s="27"/>
    </row>
    <row r="20" spans="2:9" x14ac:dyDescent="0.25">
      <c r="B20" s="26"/>
      <c r="C20" s="27"/>
    </row>
    <row r="21" spans="2:9" x14ac:dyDescent="0.25">
      <c r="B21" t="s">
        <v>148</v>
      </c>
    </row>
    <row r="22" spans="2:9" x14ac:dyDescent="0.25">
      <c r="B22" s="60" t="s">
        <v>206</v>
      </c>
    </row>
    <row r="23" spans="2:9" x14ac:dyDescent="0.25">
      <c r="B23" s="109" t="s">
        <v>145</v>
      </c>
      <c r="C23" s="109"/>
      <c r="D23" s="109" t="s">
        <v>205</v>
      </c>
      <c r="E23" s="109"/>
      <c r="F23" s="109"/>
      <c r="G23" s="109"/>
    </row>
    <row r="24" spans="2:9" ht="19.5" customHeight="1" x14ac:dyDescent="0.25">
      <c r="B24" s="111" t="s">
        <v>203</v>
      </c>
      <c r="C24" s="111"/>
      <c r="D24" s="111" t="s">
        <v>207</v>
      </c>
      <c r="E24" s="111"/>
      <c r="F24" s="111"/>
      <c r="G24" s="111"/>
    </row>
    <row r="25" spans="2:9" ht="30.75" customHeight="1" x14ac:dyDescent="0.25">
      <c r="B25" s="111" t="s">
        <v>204</v>
      </c>
      <c r="C25" s="111"/>
      <c r="D25" s="112" t="s">
        <v>149</v>
      </c>
      <c r="E25" s="113"/>
      <c r="F25" s="113"/>
      <c r="G25" s="114"/>
    </row>
    <row r="27" spans="2:9" x14ac:dyDescent="0.25">
      <c r="B27" t="s">
        <v>151</v>
      </c>
    </row>
    <row r="29" spans="2:9" x14ac:dyDescent="0.25">
      <c r="B29" t="s">
        <v>146</v>
      </c>
      <c r="D29" s="108" t="s">
        <v>208</v>
      </c>
      <c r="E29" s="108"/>
      <c r="F29" s="108"/>
      <c r="G29" s="108"/>
      <c r="H29" s="108"/>
      <c r="I29" s="108"/>
    </row>
    <row r="30" spans="2:9" x14ac:dyDescent="0.25">
      <c r="D30" s="108"/>
      <c r="E30" s="108"/>
      <c r="F30" s="108"/>
      <c r="G30" s="108"/>
      <c r="H30" s="108"/>
      <c r="I30" s="108"/>
    </row>
    <row r="31" spans="2:9" x14ac:dyDescent="0.25">
      <c r="D31" s="61"/>
      <c r="E31" s="61"/>
      <c r="F31" s="61"/>
      <c r="G31" s="61"/>
      <c r="H31" s="61"/>
      <c r="I31" s="61"/>
    </row>
    <row r="32" spans="2:9" x14ac:dyDescent="0.25">
      <c r="B32" s="107" t="s">
        <v>50</v>
      </c>
      <c r="C32" s="107"/>
      <c r="D32" s="107"/>
      <c r="E32" s="107"/>
      <c r="F32" s="107"/>
      <c r="G32" s="107"/>
      <c r="H32" s="107"/>
      <c r="I32" s="107"/>
    </row>
    <row r="34" spans="2:9" x14ac:dyDescent="0.25">
      <c r="B34" s="84" t="s">
        <v>188</v>
      </c>
    </row>
    <row r="35" spans="2:9" ht="15" customHeight="1" x14ac:dyDescent="0.25">
      <c r="B35" s="109" t="s">
        <v>190</v>
      </c>
      <c r="C35" s="109"/>
      <c r="D35" s="82" t="s">
        <v>191</v>
      </c>
      <c r="E35" s="109" t="s">
        <v>192</v>
      </c>
      <c r="F35" s="109"/>
      <c r="G35" s="109"/>
    </row>
    <row r="36" spans="2:9" x14ac:dyDescent="0.25">
      <c r="B36" s="85" t="s">
        <v>163</v>
      </c>
      <c r="C36" s="24"/>
      <c r="D36" s="83">
        <v>1.45</v>
      </c>
      <c r="E36" s="24" t="s">
        <v>193</v>
      </c>
      <c r="F36" s="24"/>
      <c r="G36" s="24"/>
    </row>
    <row r="37" spans="2:9" x14ac:dyDescent="0.25">
      <c r="B37" s="116" t="s">
        <v>180</v>
      </c>
      <c r="C37" s="117"/>
      <c r="D37" s="57">
        <v>2.2000000000000002</v>
      </c>
      <c r="E37" s="24" t="s">
        <v>194</v>
      </c>
      <c r="F37" s="24"/>
      <c r="G37" s="24"/>
    </row>
    <row r="38" spans="2:9" x14ac:dyDescent="0.25">
      <c r="B38" s="85" t="s">
        <v>162</v>
      </c>
      <c r="C38" s="24"/>
      <c r="D38" s="83">
        <v>2.75</v>
      </c>
      <c r="E38" s="24" t="s">
        <v>195</v>
      </c>
      <c r="F38" s="24"/>
      <c r="G38" s="24"/>
    </row>
    <row r="39" spans="2:9" x14ac:dyDescent="0.25">
      <c r="B39" s="86"/>
      <c r="C39" s="29"/>
      <c r="D39" s="75"/>
      <c r="E39" s="29"/>
      <c r="F39" s="29"/>
      <c r="G39" s="29"/>
    </row>
    <row r="40" spans="2:9" x14ac:dyDescent="0.25">
      <c r="B40" s="84" t="s">
        <v>189</v>
      </c>
    </row>
    <row r="41" spans="2:9" x14ac:dyDescent="0.25">
      <c r="B41" s="109" t="s">
        <v>190</v>
      </c>
      <c r="C41" s="109"/>
      <c r="D41" s="109" t="s">
        <v>191</v>
      </c>
      <c r="E41" s="109"/>
    </row>
    <row r="42" spans="2:9" x14ac:dyDescent="0.25">
      <c r="B42" s="85" t="s">
        <v>163</v>
      </c>
      <c r="C42" s="24"/>
      <c r="D42" s="115" t="s">
        <v>196</v>
      </c>
      <c r="E42" s="115"/>
    </row>
    <row r="43" spans="2:9" x14ac:dyDescent="0.25">
      <c r="B43" s="116" t="s">
        <v>180</v>
      </c>
      <c r="C43" s="117"/>
      <c r="D43" s="115" t="s">
        <v>197</v>
      </c>
      <c r="E43" s="115"/>
    </row>
    <row r="44" spans="2:9" x14ac:dyDescent="0.25">
      <c r="B44" s="85" t="s">
        <v>162</v>
      </c>
      <c r="C44" s="24"/>
      <c r="D44" s="115" t="s">
        <v>198</v>
      </c>
      <c r="E44" s="115"/>
      <c r="F44" s="41"/>
      <c r="G44" s="41"/>
      <c r="H44" s="41"/>
      <c r="I44" s="41"/>
    </row>
    <row r="45" spans="2:9" x14ac:dyDescent="0.25">
      <c r="B45" s="86"/>
      <c r="C45" s="29"/>
      <c r="D45" s="87"/>
      <c r="E45" s="87"/>
      <c r="F45" s="81"/>
      <c r="G45" s="81"/>
      <c r="H45" s="81"/>
      <c r="I45" s="81"/>
    </row>
    <row r="46" spans="2:9" x14ac:dyDescent="0.25">
      <c r="B46" s="107" t="s">
        <v>60</v>
      </c>
      <c r="C46" s="107"/>
      <c r="D46" s="107"/>
      <c r="E46" s="107"/>
      <c r="F46" s="107"/>
      <c r="G46" s="107"/>
      <c r="H46" s="107"/>
      <c r="I46" s="107"/>
    </row>
    <row r="48" spans="2:9" x14ac:dyDescent="0.25">
      <c r="B48" s="106" t="s">
        <v>61</v>
      </c>
      <c r="C48" s="106"/>
      <c r="D48" s="106"/>
      <c r="E48" s="106"/>
      <c r="F48" s="106"/>
      <c r="G48" s="106"/>
      <c r="H48" s="106"/>
      <c r="I48" s="106"/>
    </row>
    <row r="50" spans="2:2" x14ac:dyDescent="0.25">
      <c r="B50" t="s">
        <v>152</v>
      </c>
    </row>
  </sheetData>
  <mergeCells count="22">
    <mergeCell ref="B37:C37"/>
    <mergeCell ref="B41:C41"/>
    <mergeCell ref="B43:C43"/>
    <mergeCell ref="D41:E41"/>
    <mergeCell ref="D42:E42"/>
    <mergeCell ref="D43:E43"/>
    <mergeCell ref="B48:I48"/>
    <mergeCell ref="B32:I32"/>
    <mergeCell ref="D29:I30"/>
    <mergeCell ref="B2:I2"/>
    <mergeCell ref="B46:I46"/>
    <mergeCell ref="B6:C6"/>
    <mergeCell ref="D6:D7"/>
    <mergeCell ref="B24:C24"/>
    <mergeCell ref="B25:C25"/>
    <mergeCell ref="B23:C23"/>
    <mergeCell ref="D24:G24"/>
    <mergeCell ref="D23:G23"/>
    <mergeCell ref="D25:G25"/>
    <mergeCell ref="B35:C35"/>
    <mergeCell ref="D44:E44"/>
    <mergeCell ref="E35:G3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65"/>
  <sheetViews>
    <sheetView showGridLines="0" topLeftCell="B19" workbookViewId="0">
      <selection activeCell="F27" sqref="F27"/>
    </sheetView>
  </sheetViews>
  <sheetFormatPr defaultRowHeight="15" x14ac:dyDescent="0.25"/>
  <cols>
    <col min="2" max="2" width="8.28515625" style="30" bestFit="1" customWidth="1"/>
    <col min="3" max="3" width="30" bestFit="1" customWidth="1"/>
    <col min="4" max="4" width="55.7109375" customWidth="1"/>
    <col min="5" max="5" width="47.42578125" customWidth="1"/>
    <col min="6" max="6" width="73.28515625" bestFit="1" customWidth="1"/>
  </cols>
  <sheetData>
    <row r="3" spans="1:6" x14ac:dyDescent="0.25">
      <c r="B3" s="37"/>
      <c r="C3" t="s">
        <v>127</v>
      </c>
    </row>
    <row r="4" spans="1:6" x14ac:dyDescent="0.25">
      <c r="B4"/>
    </row>
    <row r="5" spans="1:6" x14ac:dyDescent="0.25">
      <c r="B5" s="32" t="s">
        <v>72</v>
      </c>
      <c r="C5" s="32" t="s">
        <v>140</v>
      </c>
      <c r="D5" s="32" t="s">
        <v>73</v>
      </c>
      <c r="E5" s="32" t="s">
        <v>74</v>
      </c>
      <c r="F5" s="32" t="s">
        <v>124</v>
      </c>
    </row>
    <row r="6" spans="1:6" ht="30" x14ac:dyDescent="0.25">
      <c r="A6" s="28"/>
      <c r="B6" s="33">
        <v>1</v>
      </c>
      <c r="C6" s="34" t="s">
        <v>104</v>
      </c>
      <c r="D6" s="35" t="s">
        <v>105</v>
      </c>
      <c r="E6" s="34"/>
      <c r="F6" s="35" t="s">
        <v>126</v>
      </c>
    </row>
    <row r="7" spans="1:6" x14ac:dyDescent="0.25">
      <c r="A7" s="28"/>
      <c r="B7" s="33">
        <v>2</v>
      </c>
      <c r="C7" s="34" t="s">
        <v>104</v>
      </c>
      <c r="D7" s="35" t="s">
        <v>106</v>
      </c>
      <c r="E7" s="34"/>
      <c r="F7" s="62"/>
    </row>
    <row r="8" spans="1:6" x14ac:dyDescent="0.25">
      <c r="A8" s="28"/>
      <c r="B8" s="33">
        <v>3</v>
      </c>
      <c r="C8" s="34" t="s">
        <v>104</v>
      </c>
      <c r="D8" s="35" t="s">
        <v>107</v>
      </c>
      <c r="E8" s="34"/>
      <c r="F8" s="62"/>
    </row>
    <row r="9" spans="1:6" ht="30" x14ac:dyDescent="0.25">
      <c r="A9" s="28"/>
      <c r="B9" s="33">
        <v>4</v>
      </c>
      <c r="C9" s="34" t="s">
        <v>104</v>
      </c>
      <c r="D9" s="35" t="s">
        <v>108</v>
      </c>
      <c r="E9" s="34"/>
      <c r="F9" s="36"/>
    </row>
    <row r="10" spans="1:6" ht="30" x14ac:dyDescent="0.25">
      <c r="A10" s="28"/>
      <c r="B10" s="33">
        <v>5</v>
      </c>
      <c r="C10" s="34" t="s">
        <v>104</v>
      </c>
      <c r="D10" s="35" t="s">
        <v>109</v>
      </c>
      <c r="E10" s="34"/>
      <c r="F10" s="36"/>
    </row>
    <row r="11" spans="1:6" ht="30" x14ac:dyDescent="0.25">
      <c r="A11" s="28"/>
      <c r="B11" s="33">
        <v>6</v>
      </c>
      <c r="C11" s="34" t="s">
        <v>110</v>
      </c>
      <c r="D11" s="35" t="s">
        <v>111</v>
      </c>
      <c r="E11" s="34"/>
      <c r="F11" s="62"/>
    </row>
    <row r="12" spans="1:6" ht="30" x14ac:dyDescent="0.25">
      <c r="A12" s="28"/>
      <c r="B12" s="33">
        <v>7</v>
      </c>
      <c r="C12" s="34" t="s">
        <v>110</v>
      </c>
      <c r="D12" s="35" t="s">
        <v>112</v>
      </c>
      <c r="E12" s="34"/>
      <c r="F12" s="36"/>
    </row>
    <row r="13" spans="1:6" ht="45" x14ac:dyDescent="0.25">
      <c r="A13" s="28"/>
      <c r="B13" s="37">
        <v>8</v>
      </c>
      <c r="C13" s="38" t="s">
        <v>110</v>
      </c>
      <c r="D13" s="39" t="s">
        <v>113</v>
      </c>
      <c r="E13" s="38" t="s">
        <v>161</v>
      </c>
      <c r="F13" s="40"/>
    </row>
    <row r="14" spans="1:6" ht="45" x14ac:dyDescent="0.25">
      <c r="A14" s="28"/>
      <c r="B14" s="33">
        <v>9</v>
      </c>
      <c r="C14" s="34" t="s">
        <v>110</v>
      </c>
      <c r="D14" s="35" t="s">
        <v>114</v>
      </c>
      <c r="E14" s="34"/>
      <c r="F14" s="36"/>
    </row>
    <row r="15" spans="1:6" x14ac:dyDescent="0.25">
      <c r="A15" s="28"/>
      <c r="B15" s="33">
        <v>10</v>
      </c>
      <c r="C15" s="34" t="s">
        <v>115</v>
      </c>
      <c r="D15" s="35" t="s">
        <v>64</v>
      </c>
      <c r="E15" s="34"/>
      <c r="F15" s="36"/>
    </row>
    <row r="16" spans="1:6" x14ac:dyDescent="0.25">
      <c r="A16" s="28"/>
      <c r="B16" s="37">
        <v>11</v>
      </c>
      <c r="C16" s="38" t="s">
        <v>115</v>
      </c>
      <c r="D16" s="39" t="s">
        <v>116</v>
      </c>
      <c r="E16" s="38" t="s">
        <v>157</v>
      </c>
      <c r="F16" s="40"/>
    </row>
    <row r="17" spans="1:6" ht="30" x14ac:dyDescent="0.25">
      <c r="A17" s="28"/>
      <c r="B17" s="37">
        <v>12</v>
      </c>
      <c r="C17" s="38" t="s">
        <v>115</v>
      </c>
      <c r="D17" s="39" t="s">
        <v>117</v>
      </c>
      <c r="E17" s="38" t="s">
        <v>158</v>
      </c>
      <c r="F17" s="40"/>
    </row>
    <row r="18" spans="1:6" ht="30" x14ac:dyDescent="0.25">
      <c r="A18" s="28"/>
      <c r="B18" s="33">
        <v>13</v>
      </c>
      <c r="C18" s="34" t="s">
        <v>115</v>
      </c>
      <c r="D18" s="35" t="s">
        <v>118</v>
      </c>
      <c r="E18" s="34"/>
      <c r="F18" s="62"/>
    </row>
    <row r="19" spans="1:6" ht="45" x14ac:dyDescent="0.25">
      <c r="A19" s="28"/>
      <c r="B19" s="37">
        <v>14</v>
      </c>
      <c r="C19" s="38" t="s">
        <v>119</v>
      </c>
      <c r="D19" s="39" t="s">
        <v>120</v>
      </c>
      <c r="E19" s="38" t="s">
        <v>159</v>
      </c>
      <c r="F19" s="40"/>
    </row>
    <row r="20" spans="1:6" ht="30" x14ac:dyDescent="0.25">
      <c r="A20" s="28"/>
      <c r="B20" s="37">
        <v>15</v>
      </c>
      <c r="C20" s="38" t="s">
        <v>119</v>
      </c>
      <c r="D20" s="39" t="s">
        <v>121</v>
      </c>
      <c r="E20" s="38" t="s">
        <v>159</v>
      </c>
      <c r="F20" s="40"/>
    </row>
    <row r="21" spans="1:6" ht="30" x14ac:dyDescent="0.25">
      <c r="A21" s="28"/>
      <c r="B21" s="33">
        <v>16</v>
      </c>
      <c r="C21" s="34" t="s">
        <v>119</v>
      </c>
      <c r="D21" s="35" t="s">
        <v>122</v>
      </c>
      <c r="E21" s="34"/>
      <c r="F21" s="62"/>
    </row>
    <row r="22" spans="1:6" ht="45" x14ac:dyDescent="0.25">
      <c r="A22" s="28"/>
      <c r="B22" s="37">
        <v>17</v>
      </c>
      <c r="C22" s="38" t="s">
        <v>119</v>
      </c>
      <c r="D22" s="39" t="s">
        <v>123</v>
      </c>
      <c r="E22" s="38" t="s">
        <v>160</v>
      </c>
      <c r="F22" s="40"/>
    </row>
    <row r="24" spans="1:6" x14ac:dyDescent="0.25">
      <c r="B24" s="32" t="s">
        <v>72</v>
      </c>
      <c r="C24" s="32" t="s">
        <v>7</v>
      </c>
      <c r="D24" s="32" t="s">
        <v>73</v>
      </c>
      <c r="E24" s="32" t="s">
        <v>74</v>
      </c>
      <c r="F24" s="32" t="s">
        <v>124</v>
      </c>
    </row>
    <row r="25" spans="1:6" ht="30" x14ac:dyDescent="0.25">
      <c r="B25" s="33">
        <v>1</v>
      </c>
      <c r="C25" s="34" t="s">
        <v>75</v>
      </c>
      <c r="D25" s="35" t="s">
        <v>26</v>
      </c>
      <c r="E25" s="35"/>
      <c r="F25" s="62"/>
    </row>
    <row r="26" spans="1:6" x14ac:dyDescent="0.25">
      <c r="B26" s="37">
        <v>2</v>
      </c>
      <c r="C26" s="38" t="s">
        <v>75</v>
      </c>
      <c r="D26" s="39" t="s">
        <v>25</v>
      </c>
      <c r="E26" s="39"/>
      <c r="F26" s="40"/>
    </row>
    <row r="27" spans="1:6" x14ac:dyDescent="0.25">
      <c r="B27" s="33">
        <v>3</v>
      </c>
      <c r="C27" s="34" t="s">
        <v>75</v>
      </c>
      <c r="D27" s="35" t="s">
        <v>125</v>
      </c>
      <c r="E27" s="35"/>
      <c r="F27" s="62" t="s">
        <v>62</v>
      </c>
    </row>
    <row r="28" spans="1:6" ht="30" x14ac:dyDescent="0.25">
      <c r="B28" s="37">
        <v>4</v>
      </c>
      <c r="C28" s="38" t="s">
        <v>75</v>
      </c>
      <c r="D28" s="39" t="s">
        <v>24</v>
      </c>
      <c r="E28" s="39"/>
      <c r="F28" s="40"/>
    </row>
    <row r="29" spans="1:6" x14ac:dyDescent="0.25">
      <c r="B29" s="37">
        <v>5</v>
      </c>
      <c r="C29" s="38" t="s">
        <v>75</v>
      </c>
      <c r="D29" s="39" t="s">
        <v>76</v>
      </c>
      <c r="E29" s="39"/>
      <c r="F29" s="40"/>
    </row>
    <row r="30" spans="1:6" x14ac:dyDescent="0.25">
      <c r="B30" s="37">
        <v>6</v>
      </c>
      <c r="C30" s="38" t="s">
        <v>75</v>
      </c>
      <c r="D30" s="39" t="s">
        <v>77</v>
      </c>
      <c r="E30" s="39"/>
      <c r="F30" s="40"/>
    </row>
    <row r="31" spans="1:6" ht="30" x14ac:dyDescent="0.25">
      <c r="B31" s="37">
        <v>7</v>
      </c>
      <c r="C31" s="38" t="s">
        <v>75</v>
      </c>
      <c r="D31" s="39" t="s">
        <v>78</v>
      </c>
      <c r="E31" s="39"/>
      <c r="F31" s="40"/>
    </row>
    <row r="32" spans="1:6" ht="30" x14ac:dyDescent="0.25">
      <c r="B32" s="37">
        <v>8</v>
      </c>
      <c r="C32" s="38" t="s">
        <v>75</v>
      </c>
      <c r="D32" s="39" t="s">
        <v>79</v>
      </c>
      <c r="E32" s="39"/>
      <c r="F32" s="40"/>
    </row>
    <row r="33" spans="2:6" ht="30" x14ac:dyDescent="0.25">
      <c r="B33" s="37">
        <v>9</v>
      </c>
      <c r="C33" s="38" t="s">
        <v>80</v>
      </c>
      <c r="D33" s="39" t="s">
        <v>81</v>
      </c>
      <c r="E33" s="39"/>
      <c r="F33" s="40"/>
    </row>
    <row r="34" spans="2:6" ht="30" x14ac:dyDescent="0.25">
      <c r="B34" s="37">
        <v>10</v>
      </c>
      <c r="C34" s="38" t="s">
        <v>80</v>
      </c>
      <c r="D34" s="39" t="s">
        <v>27</v>
      </c>
      <c r="E34" s="39"/>
      <c r="F34" s="40"/>
    </row>
    <row r="35" spans="2:6" ht="30" x14ac:dyDescent="0.25">
      <c r="B35" s="33">
        <v>11</v>
      </c>
      <c r="C35" s="34" t="s">
        <v>80</v>
      </c>
      <c r="D35" s="35" t="s">
        <v>82</v>
      </c>
      <c r="E35" s="35"/>
      <c r="F35" s="62"/>
    </row>
    <row r="36" spans="2:6" ht="30" x14ac:dyDescent="0.25">
      <c r="B36" s="37">
        <v>12</v>
      </c>
      <c r="C36" s="38" t="s">
        <v>80</v>
      </c>
      <c r="D36" s="39" t="s">
        <v>83</v>
      </c>
      <c r="E36" s="39"/>
      <c r="F36" s="40"/>
    </row>
    <row r="37" spans="2:6" ht="30" x14ac:dyDescent="0.25">
      <c r="B37" s="33">
        <v>13</v>
      </c>
      <c r="C37" s="34" t="s">
        <v>80</v>
      </c>
      <c r="D37" s="35" t="s">
        <v>31</v>
      </c>
      <c r="E37" s="35"/>
      <c r="F37" s="62"/>
    </row>
    <row r="38" spans="2:6" ht="30" x14ac:dyDescent="0.25">
      <c r="B38" s="37">
        <v>14</v>
      </c>
      <c r="C38" s="38" t="s">
        <v>84</v>
      </c>
      <c r="D38" s="39" t="s">
        <v>85</v>
      </c>
      <c r="E38" s="39"/>
      <c r="F38" s="40"/>
    </row>
    <row r="39" spans="2:6" x14ac:dyDescent="0.25">
      <c r="B39" s="37">
        <v>15</v>
      </c>
      <c r="C39" s="38" t="s">
        <v>84</v>
      </c>
      <c r="D39" s="39" t="s">
        <v>86</v>
      </c>
      <c r="E39" s="39"/>
      <c r="F39" s="40"/>
    </row>
    <row r="40" spans="2:6" x14ac:dyDescent="0.25">
      <c r="B40" s="33">
        <v>16</v>
      </c>
      <c r="C40" s="34" t="s">
        <v>84</v>
      </c>
      <c r="D40" s="35" t="s">
        <v>28</v>
      </c>
      <c r="E40" s="35"/>
      <c r="F40" s="62"/>
    </row>
    <row r="41" spans="2:6" x14ac:dyDescent="0.25">
      <c r="B41" s="33">
        <v>17</v>
      </c>
      <c r="C41" s="34" t="s">
        <v>84</v>
      </c>
      <c r="D41" s="35" t="s">
        <v>29</v>
      </c>
      <c r="E41" s="35"/>
      <c r="F41" s="62"/>
    </row>
    <row r="42" spans="2:6" ht="30" x14ac:dyDescent="0.25">
      <c r="B42" s="37">
        <v>18</v>
      </c>
      <c r="C42" s="38" t="s">
        <v>84</v>
      </c>
      <c r="D42" s="39" t="s">
        <v>30</v>
      </c>
      <c r="E42" s="39"/>
      <c r="F42" s="40"/>
    </row>
    <row r="43" spans="2:6" ht="30" x14ac:dyDescent="0.25">
      <c r="B43" s="37">
        <v>19</v>
      </c>
      <c r="C43" s="38" t="s">
        <v>87</v>
      </c>
      <c r="D43" s="39" t="s">
        <v>88</v>
      </c>
      <c r="E43" s="39"/>
      <c r="F43" s="40"/>
    </row>
    <row r="44" spans="2:6" x14ac:dyDescent="0.25">
      <c r="B44" s="33">
        <v>20</v>
      </c>
      <c r="C44" s="34" t="s">
        <v>87</v>
      </c>
      <c r="D44" s="35" t="s">
        <v>32</v>
      </c>
      <c r="E44" s="35"/>
      <c r="F44" s="62"/>
    </row>
    <row r="45" spans="2:6" x14ac:dyDescent="0.25">
      <c r="B45" s="37">
        <v>21</v>
      </c>
      <c r="C45" s="38" t="s">
        <v>87</v>
      </c>
      <c r="D45" s="39" t="s">
        <v>89</v>
      </c>
      <c r="E45" s="39"/>
      <c r="F45" s="40"/>
    </row>
    <row r="46" spans="2:6" ht="30" x14ac:dyDescent="0.25">
      <c r="B46" s="33">
        <v>22</v>
      </c>
      <c r="C46" s="34" t="s">
        <v>87</v>
      </c>
      <c r="D46" s="35" t="s">
        <v>33</v>
      </c>
      <c r="E46" s="35"/>
      <c r="F46" s="62"/>
    </row>
    <row r="47" spans="2:6" x14ac:dyDescent="0.25">
      <c r="B47" s="37">
        <v>23</v>
      </c>
      <c r="C47" s="38" t="s">
        <v>87</v>
      </c>
      <c r="D47" s="39" t="s">
        <v>90</v>
      </c>
      <c r="E47" s="39"/>
      <c r="F47" s="40"/>
    </row>
    <row r="48" spans="2:6" ht="30" x14ac:dyDescent="0.25">
      <c r="B48" s="37">
        <v>24</v>
      </c>
      <c r="C48" s="38" t="s">
        <v>91</v>
      </c>
      <c r="D48" s="39" t="s">
        <v>92</v>
      </c>
      <c r="E48" s="39"/>
      <c r="F48" s="40"/>
    </row>
    <row r="49" spans="2:6" x14ac:dyDescent="0.25">
      <c r="B49" s="33">
        <v>25</v>
      </c>
      <c r="C49" s="34" t="s">
        <v>91</v>
      </c>
      <c r="D49" s="35" t="s">
        <v>34</v>
      </c>
      <c r="E49" s="35"/>
      <c r="F49" s="62"/>
    </row>
    <row r="50" spans="2:6" x14ac:dyDescent="0.25">
      <c r="B50" s="37">
        <v>26</v>
      </c>
      <c r="C50" s="38" t="s">
        <v>91</v>
      </c>
      <c r="D50" s="39" t="s">
        <v>93</v>
      </c>
      <c r="E50" s="39"/>
      <c r="F50" s="40"/>
    </row>
    <row r="51" spans="2:6" ht="30" x14ac:dyDescent="0.25">
      <c r="B51" s="33">
        <v>27</v>
      </c>
      <c r="C51" s="34" t="s">
        <v>91</v>
      </c>
      <c r="D51" s="35" t="s">
        <v>35</v>
      </c>
      <c r="E51" s="35"/>
      <c r="F51" s="62"/>
    </row>
    <row r="52" spans="2:6" x14ac:dyDescent="0.25">
      <c r="B52" s="37">
        <v>28</v>
      </c>
      <c r="C52" s="38" t="s">
        <v>91</v>
      </c>
      <c r="D52" s="39" t="s">
        <v>94</v>
      </c>
      <c r="E52" s="39"/>
      <c r="F52" s="40"/>
    </row>
    <row r="53" spans="2:6" x14ac:dyDescent="0.25">
      <c r="B53" s="37">
        <v>29</v>
      </c>
      <c r="C53" s="38" t="s">
        <v>91</v>
      </c>
      <c r="D53" s="39" t="s">
        <v>95</v>
      </c>
      <c r="E53" s="39"/>
      <c r="F53" s="40"/>
    </row>
    <row r="54" spans="2:6" x14ac:dyDescent="0.25">
      <c r="B54" s="37">
        <v>30</v>
      </c>
      <c r="C54" s="38" t="s">
        <v>91</v>
      </c>
      <c r="D54" s="39" t="s">
        <v>36</v>
      </c>
      <c r="E54" s="39"/>
      <c r="F54" s="40"/>
    </row>
    <row r="55" spans="2:6" x14ac:dyDescent="0.25">
      <c r="B55" s="37">
        <v>31</v>
      </c>
      <c r="C55" s="38" t="s">
        <v>96</v>
      </c>
      <c r="D55" s="39" t="s">
        <v>37</v>
      </c>
      <c r="E55" s="39"/>
      <c r="F55" s="40"/>
    </row>
    <row r="56" spans="2:6" ht="30" x14ac:dyDescent="0.25">
      <c r="B56" s="37">
        <v>32</v>
      </c>
      <c r="C56" s="38" t="s">
        <v>96</v>
      </c>
      <c r="D56" s="39" t="s">
        <v>97</v>
      </c>
      <c r="E56" s="39"/>
      <c r="F56" s="40"/>
    </row>
    <row r="57" spans="2:6" ht="30" x14ac:dyDescent="0.25">
      <c r="B57" s="33">
        <v>33</v>
      </c>
      <c r="C57" s="34" t="s">
        <v>96</v>
      </c>
      <c r="D57" s="35" t="s">
        <v>38</v>
      </c>
      <c r="E57" s="35"/>
      <c r="F57" s="62"/>
    </row>
    <row r="58" spans="2:6" ht="30" x14ac:dyDescent="0.25">
      <c r="B58" s="33">
        <v>34</v>
      </c>
      <c r="C58" s="34" t="s">
        <v>96</v>
      </c>
      <c r="D58" s="35" t="s">
        <v>63</v>
      </c>
      <c r="E58" s="35"/>
      <c r="F58" s="62"/>
    </row>
    <row r="59" spans="2:6" ht="30" x14ac:dyDescent="0.25">
      <c r="B59" s="37">
        <v>35</v>
      </c>
      <c r="C59" s="38" t="s">
        <v>96</v>
      </c>
      <c r="D59" s="39" t="s">
        <v>98</v>
      </c>
      <c r="E59" s="39"/>
      <c r="F59" s="40"/>
    </row>
    <row r="60" spans="2:6" x14ac:dyDescent="0.25">
      <c r="B60" s="37">
        <v>36</v>
      </c>
      <c r="C60" s="38" t="s">
        <v>96</v>
      </c>
      <c r="D60" s="39" t="s">
        <v>99</v>
      </c>
      <c r="E60" s="39"/>
      <c r="F60" s="40"/>
    </row>
    <row r="61" spans="2:6" ht="30" x14ac:dyDescent="0.25">
      <c r="B61" s="33">
        <v>37</v>
      </c>
      <c r="C61" s="34" t="s">
        <v>100</v>
      </c>
      <c r="D61" s="35" t="s">
        <v>39</v>
      </c>
      <c r="E61" s="35"/>
      <c r="F61" s="62"/>
    </row>
    <row r="62" spans="2:6" ht="30" x14ac:dyDescent="0.25">
      <c r="B62" s="33">
        <v>38</v>
      </c>
      <c r="C62" s="34" t="s">
        <v>100</v>
      </c>
      <c r="D62" s="35" t="s">
        <v>101</v>
      </c>
      <c r="E62" s="35"/>
      <c r="F62" s="35" t="s">
        <v>199</v>
      </c>
    </row>
    <row r="63" spans="2:6" x14ac:dyDescent="0.25">
      <c r="B63" s="37">
        <v>39</v>
      </c>
      <c r="C63" s="38" t="s">
        <v>100</v>
      </c>
      <c r="D63" s="39" t="s">
        <v>102</v>
      </c>
      <c r="E63" s="39"/>
      <c r="F63" s="40"/>
    </row>
    <row r="64" spans="2:6" x14ac:dyDescent="0.25">
      <c r="B64" s="37">
        <v>40</v>
      </c>
      <c r="C64" s="38" t="s">
        <v>100</v>
      </c>
      <c r="D64" s="39" t="s">
        <v>40</v>
      </c>
      <c r="E64" s="39"/>
      <c r="F64" s="40"/>
    </row>
    <row r="65" spans="2:6" x14ac:dyDescent="0.25">
      <c r="B65" s="37">
        <v>41</v>
      </c>
      <c r="C65" s="38" t="s">
        <v>100</v>
      </c>
      <c r="D65" s="39" t="s">
        <v>103</v>
      </c>
      <c r="E65" s="39"/>
      <c r="F65" s="40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X64"/>
  <sheetViews>
    <sheetView showGridLines="0" zoomScale="90" zoomScaleNormal="90" workbookViewId="0">
      <selection activeCell="B3" sqref="B3"/>
    </sheetView>
  </sheetViews>
  <sheetFormatPr defaultRowHeight="15" x14ac:dyDescent="0.25"/>
  <cols>
    <col min="1" max="1" width="9.140625" style="13" customWidth="1"/>
    <col min="2" max="2" width="124" customWidth="1"/>
    <col min="3" max="5" width="13" customWidth="1"/>
    <col min="6" max="6" width="15.7109375" customWidth="1"/>
    <col min="7" max="7" width="13.140625" customWidth="1"/>
    <col min="8" max="8" width="9.140625" style="31"/>
    <col min="9" max="9" width="10" style="31" customWidth="1"/>
    <col min="10" max="10" width="12.42578125" style="31" customWidth="1"/>
    <col min="11" max="16" width="9.140625" style="31"/>
    <col min="17" max="18" width="9.140625" style="13"/>
    <col min="19" max="23" width="9.140625" style="20"/>
    <col min="24" max="24" width="9.140625" style="19"/>
  </cols>
  <sheetData>
    <row r="1" spans="2:10" x14ac:dyDescent="0.25">
      <c r="D1" s="88"/>
      <c r="E1" s="88"/>
      <c r="F1" s="88"/>
      <c r="G1" s="88"/>
    </row>
    <row r="2" spans="2:10" x14ac:dyDescent="0.25">
      <c r="D2" s="88"/>
      <c r="E2" s="88"/>
      <c r="F2" s="88"/>
      <c r="G2" s="88"/>
    </row>
    <row r="3" spans="2:10" x14ac:dyDescent="0.25">
      <c r="D3" s="88"/>
      <c r="E3" s="88"/>
      <c r="F3" s="88"/>
      <c r="G3" s="88"/>
    </row>
    <row r="4" spans="2:10" x14ac:dyDescent="0.25">
      <c r="B4" s="10" t="s">
        <v>43</v>
      </c>
      <c r="C4" s="10" t="s">
        <v>41</v>
      </c>
      <c r="D4" s="88"/>
      <c r="E4" s="89"/>
      <c r="F4" s="13">
        <v>100</v>
      </c>
      <c r="G4" s="13">
        <v>279.99</v>
      </c>
      <c r="H4" s="31" t="s">
        <v>13</v>
      </c>
    </row>
    <row r="5" spans="2:10" x14ac:dyDescent="0.25">
      <c r="B5" s="12" t="s">
        <v>154</v>
      </c>
      <c r="C5" s="12">
        <f>IF(ISERROR(ROUND(AVERAGE(C6:C7),0)),0,ROUND(AVERAGE(C6:C7),0))</f>
        <v>0</v>
      </c>
      <c r="D5" s="88"/>
      <c r="E5" s="88"/>
      <c r="F5" s="13">
        <v>280</v>
      </c>
      <c r="G5" s="13">
        <v>380.99</v>
      </c>
      <c r="H5" s="31" t="s">
        <v>11</v>
      </c>
    </row>
    <row r="6" spans="2:10" x14ac:dyDescent="0.25">
      <c r="B6" s="9" t="s">
        <v>69</v>
      </c>
      <c r="C6" s="11"/>
      <c r="D6" s="88"/>
      <c r="E6" s="88"/>
      <c r="F6" s="13">
        <v>381</v>
      </c>
      <c r="G6" s="13">
        <v>500</v>
      </c>
      <c r="H6" s="31" t="s">
        <v>12</v>
      </c>
    </row>
    <row r="7" spans="2:10" x14ac:dyDescent="0.25">
      <c r="B7" s="9" t="s">
        <v>68</v>
      </c>
      <c r="C7" s="11"/>
      <c r="D7" s="88"/>
      <c r="E7" s="88"/>
      <c r="F7" s="13"/>
      <c r="G7" s="13"/>
    </row>
    <row r="8" spans="2:10" x14ac:dyDescent="0.25">
      <c r="B8" s="52" t="s">
        <v>142</v>
      </c>
      <c r="C8" s="52" t="str">
        <f>IF(C5=0,"",IF(C5&lt;=G4,"Abaixo do esperado",IF(C5&lt;=G5,"Dentro do esperado","Acima do esperado")))</f>
        <v/>
      </c>
      <c r="D8" s="88"/>
      <c r="E8" s="88"/>
      <c r="F8" s="88"/>
      <c r="G8" s="88"/>
    </row>
    <row r="9" spans="2:10" x14ac:dyDescent="0.25">
      <c r="D9" s="88"/>
      <c r="E9" s="88"/>
      <c r="F9" s="88"/>
      <c r="G9" s="88"/>
    </row>
    <row r="10" spans="2:10" ht="30" x14ac:dyDescent="0.25">
      <c r="B10" s="42" t="s">
        <v>140</v>
      </c>
      <c r="C10" s="42" t="s">
        <v>49</v>
      </c>
      <c r="D10" s="43" t="s">
        <v>22</v>
      </c>
      <c r="E10" s="43" t="s">
        <v>9</v>
      </c>
      <c r="F10" s="43" t="s">
        <v>23</v>
      </c>
      <c r="G10" s="44" t="s">
        <v>6</v>
      </c>
      <c r="H10" s="91" t="s">
        <v>20</v>
      </c>
      <c r="I10" s="91" t="s">
        <v>21</v>
      </c>
      <c r="J10" s="92" t="s">
        <v>136</v>
      </c>
    </row>
    <row r="11" spans="2:10" x14ac:dyDescent="0.25">
      <c r="B11" s="53" t="s">
        <v>126</v>
      </c>
      <c r="H11" s="91">
        <v>1</v>
      </c>
      <c r="I11" s="93" t="str">
        <f>IF(H11=1,"",IF(H11=2,100,IF(H11=3,233,IF(H11=4,367,500))))</f>
        <v/>
      </c>
      <c r="J11" s="93" t="str">
        <f>IF(H11=1,"",H11)</f>
        <v/>
      </c>
    </row>
    <row r="12" spans="2:10" x14ac:dyDescent="0.25">
      <c r="B12" s="105" t="s">
        <v>65</v>
      </c>
      <c r="H12" s="93">
        <v>1</v>
      </c>
      <c r="I12" s="93" t="str">
        <f t="shared" ref="I12:I21" si="0">IF(H12=1,"",IF(H12=2,100,IF(H12=3,233,IF(H12=4,367,500))))</f>
        <v/>
      </c>
      <c r="J12" s="93" t="str">
        <f t="shared" ref="J12:J21" si="1">IF(H12=1,"",H12)</f>
        <v/>
      </c>
    </row>
    <row r="13" spans="2:10" x14ac:dyDescent="0.25">
      <c r="B13" s="71" t="s">
        <v>215</v>
      </c>
      <c r="H13" s="93">
        <v>1</v>
      </c>
      <c r="I13" s="93" t="str">
        <f t="shared" si="0"/>
        <v/>
      </c>
      <c r="J13" s="93" t="str">
        <f t="shared" si="1"/>
        <v/>
      </c>
    </row>
    <row r="14" spans="2:10" x14ac:dyDescent="0.25">
      <c r="B14" s="71" t="s">
        <v>209</v>
      </c>
      <c r="H14" s="93">
        <v>1</v>
      </c>
      <c r="I14" s="93" t="str">
        <f t="shared" si="0"/>
        <v/>
      </c>
      <c r="J14" s="93" t="str">
        <f t="shared" si="1"/>
        <v/>
      </c>
    </row>
    <row r="15" spans="2:10" x14ac:dyDescent="0.25">
      <c r="B15" s="71" t="s">
        <v>213</v>
      </c>
      <c r="H15" s="93">
        <v>1</v>
      </c>
      <c r="I15" s="93" t="str">
        <f t="shared" si="0"/>
        <v/>
      </c>
      <c r="J15" s="93" t="str">
        <f t="shared" si="1"/>
        <v/>
      </c>
    </row>
    <row r="16" spans="2:10" x14ac:dyDescent="0.25">
      <c r="B16" s="70" t="s">
        <v>202</v>
      </c>
      <c r="C16" s="54"/>
      <c r="D16" s="54"/>
      <c r="E16" s="54"/>
      <c r="F16" s="54"/>
      <c r="G16" s="54"/>
      <c r="H16" s="91">
        <v>1</v>
      </c>
      <c r="I16" s="93" t="str">
        <f t="shared" si="0"/>
        <v/>
      </c>
      <c r="J16" s="93" t="str">
        <f t="shared" si="1"/>
        <v/>
      </c>
    </row>
    <row r="17" spans="1:24" x14ac:dyDescent="0.25">
      <c r="B17" s="71" t="s">
        <v>210</v>
      </c>
      <c r="C17" s="54"/>
      <c r="D17" s="54"/>
      <c r="E17" s="54"/>
      <c r="F17" s="54"/>
      <c r="G17" s="54"/>
      <c r="H17" s="93">
        <v>1</v>
      </c>
      <c r="I17" s="93" t="str">
        <f t="shared" si="0"/>
        <v/>
      </c>
      <c r="J17" s="93" t="str">
        <f t="shared" si="1"/>
        <v/>
      </c>
    </row>
    <row r="18" spans="1:24" x14ac:dyDescent="0.25">
      <c r="B18" s="71" t="s">
        <v>216</v>
      </c>
      <c r="C18" s="54"/>
      <c r="D18" s="54"/>
      <c r="E18" s="54"/>
      <c r="F18" s="54"/>
      <c r="G18" s="54"/>
      <c r="H18" s="93">
        <v>1</v>
      </c>
      <c r="I18" s="93" t="str">
        <f t="shared" si="0"/>
        <v/>
      </c>
      <c r="J18" s="93" t="str">
        <f t="shared" si="1"/>
        <v/>
      </c>
    </row>
    <row r="19" spans="1:24" x14ac:dyDescent="0.25">
      <c r="A19" s="20"/>
      <c r="B19" s="70" t="s">
        <v>211</v>
      </c>
      <c r="H19" s="91">
        <v>1</v>
      </c>
      <c r="I19" s="93" t="str">
        <f t="shared" si="0"/>
        <v/>
      </c>
      <c r="J19" s="93" t="str">
        <f t="shared" si="1"/>
        <v/>
      </c>
    </row>
    <row r="20" spans="1:24" x14ac:dyDescent="0.25">
      <c r="B20" s="71" t="s">
        <v>153</v>
      </c>
      <c r="H20" s="93">
        <v>1</v>
      </c>
      <c r="I20" s="93" t="str">
        <f t="shared" si="0"/>
        <v/>
      </c>
      <c r="J20" s="93" t="str">
        <f t="shared" si="1"/>
        <v/>
      </c>
    </row>
    <row r="21" spans="1:24" x14ac:dyDescent="0.25">
      <c r="B21" s="71" t="s">
        <v>212</v>
      </c>
      <c r="H21" s="93">
        <v>1</v>
      </c>
      <c r="I21" s="93" t="str">
        <f t="shared" si="0"/>
        <v/>
      </c>
      <c r="J21" s="93" t="str">
        <f t="shared" si="1"/>
        <v/>
      </c>
    </row>
    <row r="22" spans="1:24" x14ac:dyDescent="0.25">
      <c r="B22" s="52" t="s">
        <v>141</v>
      </c>
      <c r="C22" s="52" t="str">
        <f>IF(ISERROR(IF((AVERAGE(I11:I21))&lt;=G4,"Abaixo do esperado",IF((AVERAGE(I11:I21))&lt;=G5,"Dentro do esperado","Acima do esperado"))),"",IF((AVERAGE(I11:I21))&lt;=G4,"Abaixo do esperado",IF((AVERAGE(I11:I21))&lt;=G5,"Dentro do esperado","Acima do esperado")))</f>
        <v/>
      </c>
      <c r="H22" s="93"/>
      <c r="I22" s="93"/>
      <c r="J22" s="93"/>
    </row>
    <row r="23" spans="1:24" x14ac:dyDescent="0.25">
      <c r="B23" s="24"/>
      <c r="H23" s="93"/>
      <c r="I23" s="93"/>
      <c r="J23" s="93"/>
    </row>
    <row r="24" spans="1:24" ht="30" x14ac:dyDescent="0.25">
      <c r="B24" s="42" t="s">
        <v>214</v>
      </c>
      <c r="C24" s="42" t="s">
        <v>49</v>
      </c>
      <c r="D24" s="43" t="s">
        <v>22</v>
      </c>
      <c r="E24" s="43" t="s">
        <v>9</v>
      </c>
      <c r="F24" s="43" t="s">
        <v>23</v>
      </c>
      <c r="G24" s="44" t="s">
        <v>6</v>
      </c>
      <c r="H24" s="93"/>
      <c r="I24" s="93"/>
      <c r="J24" s="93"/>
    </row>
    <row r="25" spans="1:24" s="28" customFormat="1" ht="30" x14ac:dyDescent="0.25">
      <c r="A25" s="31" t="s">
        <v>75</v>
      </c>
      <c r="B25" s="47" t="s">
        <v>129</v>
      </c>
      <c r="C25" s="48"/>
      <c r="D25" s="49"/>
      <c r="E25" s="49"/>
      <c r="F25" s="49"/>
      <c r="G25" s="50"/>
      <c r="H25" s="91">
        <f>J25</f>
        <v>1</v>
      </c>
      <c r="I25" s="93" t="str">
        <f>IF(H25=1,"",IF(H25=2,100,IF(H25=3,200,IF(H25=4,300,400))))</f>
        <v/>
      </c>
      <c r="J25" s="94">
        <f>IF(ISERROR(ROUND(AVERAGE(J26:J27),0)),1,ROUND(AVERAGE(J26:J27),0))</f>
        <v>1</v>
      </c>
      <c r="K25" s="31"/>
      <c r="L25" s="31"/>
      <c r="M25" s="31"/>
      <c r="N25" s="31"/>
      <c r="O25" s="31"/>
      <c r="P25" s="31"/>
      <c r="Q25" s="31"/>
      <c r="R25" s="31"/>
      <c r="S25" s="51"/>
      <c r="T25" s="51"/>
      <c r="U25" s="51"/>
      <c r="V25" s="51"/>
      <c r="W25" s="51"/>
      <c r="X25" s="55"/>
    </row>
    <row r="26" spans="1:24" s="28" customFormat="1" x14ac:dyDescent="0.25">
      <c r="A26" s="31"/>
      <c r="B26" s="45" t="s">
        <v>26</v>
      </c>
      <c r="C26"/>
      <c r="D26"/>
      <c r="E26"/>
      <c r="F26"/>
      <c r="G26"/>
      <c r="H26" s="93">
        <v>1</v>
      </c>
      <c r="I26" s="93" t="str">
        <f>IF(H26=1,"",IF(H26=2,100,IF(H26=3,200,IF(H26=4,300,400))))</f>
        <v/>
      </c>
      <c r="J26" s="93" t="str">
        <f>IF(H26=1,"",H26)</f>
        <v/>
      </c>
      <c r="K26" s="31"/>
      <c r="L26" s="31"/>
      <c r="M26" s="31"/>
      <c r="N26" s="31"/>
      <c r="O26" s="31"/>
      <c r="P26" s="31"/>
      <c r="Q26" s="31"/>
      <c r="R26" s="31"/>
      <c r="S26" s="51"/>
      <c r="T26" s="51"/>
      <c r="U26" s="51"/>
      <c r="V26" s="51"/>
      <c r="W26" s="51"/>
      <c r="X26" s="55"/>
    </row>
    <row r="27" spans="1:24" s="28" customFormat="1" x14ac:dyDescent="0.25">
      <c r="A27" s="31"/>
      <c r="B27" s="24" t="s">
        <v>200</v>
      </c>
      <c r="C27"/>
      <c r="D27"/>
      <c r="E27"/>
      <c r="F27"/>
      <c r="G27"/>
      <c r="H27" s="93">
        <v>1</v>
      </c>
      <c r="I27" s="93" t="str">
        <f>IF(H27=1,"",IF(H27=2,100,IF(H27=3,200,IF(H27=4,300,400))))</f>
        <v/>
      </c>
      <c r="J27" s="93" t="str">
        <f>IF(H27=1,"",H27)</f>
        <v/>
      </c>
      <c r="K27" s="31"/>
      <c r="L27" s="31"/>
      <c r="M27" s="31"/>
      <c r="N27" s="31"/>
      <c r="O27" s="31"/>
      <c r="P27" s="31"/>
      <c r="Q27" s="31"/>
      <c r="R27" s="31"/>
      <c r="S27" s="51"/>
      <c r="T27" s="51"/>
      <c r="U27" s="51"/>
      <c r="V27" s="51"/>
      <c r="W27" s="51"/>
      <c r="X27" s="55"/>
    </row>
    <row r="28" spans="1:24" s="28" customFormat="1" ht="30" x14ac:dyDescent="0.25">
      <c r="A28" s="31" t="s">
        <v>80</v>
      </c>
      <c r="B28" s="46" t="s">
        <v>130</v>
      </c>
      <c r="C28" s="48"/>
      <c r="D28" s="49"/>
      <c r="E28" s="49"/>
      <c r="F28" s="49"/>
      <c r="G28" s="50"/>
      <c r="H28" s="91">
        <f>J28</f>
        <v>1</v>
      </c>
      <c r="I28" s="93" t="str">
        <f>IF(H28=1,"",IF(H28=2,100,IF(H28=3,200,IF(H28=4,300,400))))</f>
        <v/>
      </c>
      <c r="J28" s="94">
        <f>IF(ISERROR(ROUND(AVERAGE(J29:J30),0)),1,ROUND(AVERAGE(J29:J30),0))</f>
        <v>1</v>
      </c>
      <c r="K28" s="31"/>
      <c r="L28" s="31"/>
      <c r="M28" s="31"/>
      <c r="N28" s="31"/>
      <c r="O28" s="31"/>
      <c r="P28" s="31"/>
      <c r="Q28" s="31"/>
      <c r="R28" s="31"/>
      <c r="S28" s="51"/>
      <c r="T28" s="51"/>
      <c r="U28" s="51"/>
      <c r="V28" s="51"/>
      <c r="W28" s="51"/>
      <c r="X28" s="55"/>
    </row>
    <row r="29" spans="1:24" s="28" customFormat="1" x14ac:dyDescent="0.25">
      <c r="A29" s="31"/>
      <c r="B29" s="24" t="s">
        <v>83</v>
      </c>
      <c r="C29"/>
      <c r="D29"/>
      <c r="E29"/>
      <c r="F29"/>
      <c r="G29"/>
      <c r="H29" s="93">
        <v>1</v>
      </c>
      <c r="I29" s="93" t="str">
        <f>IF(H29=1,"",IF(H29=2,100,IF(H29=3,200,IF(H29=4,300,400))))</f>
        <v/>
      </c>
      <c r="J29" s="93" t="str">
        <f>IF(H29=1,"",H29)</f>
        <v/>
      </c>
      <c r="K29" s="31"/>
      <c r="L29" s="31"/>
      <c r="M29" s="31"/>
      <c r="N29" s="31"/>
      <c r="O29" s="31"/>
      <c r="P29" s="31"/>
      <c r="Q29" s="31"/>
      <c r="R29" s="31"/>
      <c r="S29" s="51"/>
      <c r="T29" s="51"/>
      <c r="U29" s="51"/>
      <c r="V29" s="51"/>
      <c r="W29" s="51"/>
      <c r="X29" s="55"/>
    </row>
    <row r="30" spans="1:24" s="28" customFormat="1" x14ac:dyDescent="0.25">
      <c r="A30" s="31"/>
      <c r="B30" s="24" t="s">
        <v>31</v>
      </c>
      <c r="C30"/>
      <c r="D30"/>
      <c r="E30"/>
      <c r="F30"/>
      <c r="G30"/>
      <c r="H30" s="93">
        <v>1</v>
      </c>
      <c r="I30" s="93" t="str">
        <f t="shared" ref="I30:I45" si="2">IF(H30=1,"",IF(H30=2,100,IF(H30=3,200,IF(H30=4,300,400))))</f>
        <v/>
      </c>
      <c r="J30" s="93" t="str">
        <f>IF(H30=1,"",H30)</f>
        <v/>
      </c>
      <c r="K30" s="31"/>
      <c r="L30" s="31"/>
      <c r="M30" s="31"/>
      <c r="N30" s="31"/>
      <c r="O30" s="31"/>
      <c r="P30" s="31"/>
      <c r="Q30" s="31"/>
      <c r="R30" s="31"/>
      <c r="S30" s="51"/>
      <c r="T30" s="51"/>
      <c r="U30" s="51"/>
      <c r="V30" s="51"/>
      <c r="W30" s="51"/>
      <c r="X30" s="55"/>
    </row>
    <row r="31" spans="1:24" s="28" customFormat="1" x14ac:dyDescent="0.25">
      <c r="A31" s="31" t="s">
        <v>84</v>
      </c>
      <c r="B31" s="46" t="s">
        <v>135</v>
      </c>
      <c r="C31" s="48"/>
      <c r="D31" s="49"/>
      <c r="E31" s="49"/>
      <c r="F31" s="49"/>
      <c r="G31" s="50"/>
      <c r="H31" s="91">
        <f>J31</f>
        <v>1</v>
      </c>
      <c r="I31" s="93" t="str">
        <f t="shared" si="2"/>
        <v/>
      </c>
      <c r="J31" s="94">
        <f>IF(ISERROR(ROUND(AVERAGE(J32:J33),0)),1,ROUND(AVERAGE(J32:J33),0))</f>
        <v>1</v>
      </c>
      <c r="K31" s="31"/>
      <c r="L31" s="31"/>
      <c r="M31" s="31"/>
      <c r="N31" s="31"/>
      <c r="O31" s="31"/>
      <c r="P31" s="31"/>
      <c r="Q31" s="31"/>
      <c r="R31" s="31"/>
      <c r="S31" s="51"/>
      <c r="T31" s="51"/>
      <c r="U31" s="51"/>
      <c r="V31" s="51"/>
      <c r="W31" s="51"/>
      <c r="X31" s="55"/>
    </row>
    <row r="32" spans="1:24" s="28" customFormat="1" x14ac:dyDescent="0.25">
      <c r="A32" s="31"/>
      <c r="B32" s="24" t="s">
        <v>28</v>
      </c>
      <c r="C32"/>
      <c r="D32"/>
      <c r="E32"/>
      <c r="F32"/>
      <c r="G32"/>
      <c r="H32" s="93">
        <v>1</v>
      </c>
      <c r="I32" s="93" t="str">
        <f t="shared" si="2"/>
        <v/>
      </c>
      <c r="J32" s="93" t="str">
        <f>IF(H32=1,"",H32)</f>
        <v/>
      </c>
      <c r="K32" s="31"/>
      <c r="L32" s="31"/>
      <c r="M32" s="31"/>
      <c r="N32" s="31"/>
      <c r="O32" s="31"/>
      <c r="P32" s="31"/>
      <c r="Q32" s="31"/>
      <c r="R32" s="31"/>
      <c r="S32" s="51"/>
      <c r="T32" s="51"/>
      <c r="U32" s="51"/>
      <c r="V32" s="51"/>
      <c r="W32" s="51"/>
      <c r="X32" s="55"/>
    </row>
    <row r="33" spans="1:24" s="28" customFormat="1" x14ac:dyDescent="0.25">
      <c r="A33" s="31"/>
      <c r="B33" s="24" t="s">
        <v>29</v>
      </c>
      <c r="C33"/>
      <c r="D33"/>
      <c r="E33"/>
      <c r="F33"/>
      <c r="G33"/>
      <c r="H33" s="93">
        <v>1</v>
      </c>
      <c r="I33" s="93" t="str">
        <f t="shared" si="2"/>
        <v/>
      </c>
      <c r="J33" s="93" t="str">
        <f>IF(H33=1,"",H33)</f>
        <v/>
      </c>
      <c r="K33" s="31"/>
      <c r="L33" s="31"/>
      <c r="M33" s="31"/>
      <c r="N33" s="31"/>
      <c r="O33" s="31"/>
      <c r="P33" s="31"/>
      <c r="Q33" s="31"/>
      <c r="R33" s="31"/>
      <c r="S33" s="51"/>
      <c r="T33" s="51"/>
      <c r="U33" s="51"/>
      <c r="V33" s="51"/>
      <c r="W33" s="51"/>
      <c r="X33" s="55"/>
    </row>
    <row r="34" spans="1:24" ht="30" customHeight="1" x14ac:dyDescent="0.25">
      <c r="A34" s="13" t="s">
        <v>87</v>
      </c>
      <c r="B34" s="46" t="s">
        <v>134</v>
      </c>
      <c r="C34" s="48"/>
      <c r="D34" s="49"/>
      <c r="E34" s="49"/>
      <c r="F34" s="49"/>
      <c r="G34" s="50"/>
      <c r="H34" s="91">
        <f>J34</f>
        <v>1</v>
      </c>
      <c r="I34" s="93" t="str">
        <f t="shared" ref="I34" si="3">IF(H34=1,"",IF(H34=2,100,IF(H34=3,200,IF(H34=4,300,400))))</f>
        <v/>
      </c>
      <c r="J34" s="94">
        <f>IF(ISERROR(ROUND(AVERAGE(J35:J36),0)),1,ROUND(AVERAGE(J35:J36),0))</f>
        <v>1</v>
      </c>
    </row>
    <row r="35" spans="1:24" x14ac:dyDescent="0.25">
      <c r="B35" s="24" t="s">
        <v>33</v>
      </c>
      <c r="H35" s="93">
        <v>1</v>
      </c>
      <c r="I35" s="93" t="str">
        <f t="shared" si="2"/>
        <v/>
      </c>
      <c r="J35" s="93" t="str">
        <f>IF(H35=1,"",H35)</f>
        <v/>
      </c>
    </row>
    <row r="36" spans="1:24" x14ac:dyDescent="0.25">
      <c r="B36" s="24" t="s">
        <v>32</v>
      </c>
      <c r="H36" s="93">
        <v>1</v>
      </c>
      <c r="I36" s="93" t="str">
        <f t="shared" si="2"/>
        <v/>
      </c>
      <c r="J36" s="93" t="str">
        <f>IF(H36=1,"",H36)</f>
        <v/>
      </c>
    </row>
    <row r="37" spans="1:24" ht="30" customHeight="1" x14ac:dyDescent="0.25">
      <c r="A37" s="13" t="s">
        <v>91</v>
      </c>
      <c r="B37" s="46" t="s">
        <v>133</v>
      </c>
      <c r="C37" s="48"/>
      <c r="D37" s="49"/>
      <c r="E37" s="49"/>
      <c r="F37" s="49"/>
      <c r="G37" s="50"/>
      <c r="H37" s="91">
        <f>J37</f>
        <v>1</v>
      </c>
      <c r="I37" s="93" t="str">
        <f t="shared" si="2"/>
        <v/>
      </c>
      <c r="J37" s="94">
        <f>IF(ISERROR(ROUND(AVERAGE(J38:J39),0)),1,ROUND(AVERAGE(J38:J39),0))</f>
        <v>1</v>
      </c>
    </row>
    <row r="38" spans="1:24" x14ac:dyDescent="0.25">
      <c r="B38" s="24" t="s">
        <v>34</v>
      </c>
      <c r="H38" s="93">
        <v>1</v>
      </c>
      <c r="I38" s="93" t="str">
        <f t="shared" si="2"/>
        <v/>
      </c>
      <c r="J38" s="93" t="str">
        <f>IF(H38=1,"",H38)</f>
        <v/>
      </c>
    </row>
    <row r="39" spans="1:24" x14ac:dyDescent="0.25">
      <c r="B39" s="24" t="s">
        <v>35</v>
      </c>
      <c r="H39" s="93">
        <v>1</v>
      </c>
      <c r="I39" s="93" t="str">
        <f t="shared" si="2"/>
        <v/>
      </c>
      <c r="J39" s="93" t="str">
        <f>IF(H39=1,"",H39)</f>
        <v/>
      </c>
    </row>
    <row r="40" spans="1:24" ht="30" customHeight="1" x14ac:dyDescent="0.25">
      <c r="A40" s="13" t="s">
        <v>96</v>
      </c>
      <c r="B40" s="46" t="s">
        <v>132</v>
      </c>
      <c r="C40" s="48"/>
      <c r="D40" s="49"/>
      <c r="E40" s="49"/>
      <c r="F40" s="49"/>
      <c r="G40" s="50"/>
      <c r="H40" s="91">
        <f>J40</f>
        <v>1</v>
      </c>
      <c r="I40" s="93" t="str">
        <f t="shared" si="2"/>
        <v/>
      </c>
      <c r="J40" s="94">
        <f>IF(ISERROR(ROUND(AVERAGE(J41:J42),0)),1,ROUND(AVERAGE(J41:J42),0))</f>
        <v>1</v>
      </c>
    </row>
    <row r="41" spans="1:24" x14ac:dyDescent="0.25">
      <c r="B41" s="24" t="s">
        <v>38</v>
      </c>
      <c r="C41" s="28"/>
      <c r="D41" s="28"/>
      <c r="E41" s="28"/>
      <c r="F41" s="28"/>
      <c r="G41" s="28"/>
      <c r="H41" s="93">
        <v>1</v>
      </c>
      <c r="I41" s="93" t="str">
        <f t="shared" si="2"/>
        <v/>
      </c>
      <c r="J41" s="93" t="str">
        <f>IF(H41=1,"",H41)</f>
        <v/>
      </c>
    </row>
    <row r="42" spans="1:24" x14ac:dyDescent="0.25">
      <c r="B42" s="24" t="s">
        <v>63</v>
      </c>
      <c r="H42" s="93">
        <v>1</v>
      </c>
      <c r="I42" s="93" t="str">
        <f t="shared" si="2"/>
        <v/>
      </c>
      <c r="J42" s="93" t="str">
        <f>IF(H42=1,"",H42)</f>
        <v/>
      </c>
    </row>
    <row r="43" spans="1:24" ht="30" customHeight="1" x14ac:dyDescent="0.25">
      <c r="A43" s="13" t="s">
        <v>100</v>
      </c>
      <c r="B43" s="46" t="s">
        <v>131</v>
      </c>
      <c r="C43" s="48"/>
      <c r="D43" s="49"/>
      <c r="E43" s="49"/>
      <c r="F43" s="49"/>
      <c r="G43" s="50"/>
      <c r="H43" s="91">
        <f>J43</f>
        <v>1</v>
      </c>
      <c r="I43" s="93" t="str">
        <f t="shared" si="2"/>
        <v/>
      </c>
      <c r="J43" s="94">
        <f>IF(ISERROR(ROUND(AVERAGE(J44:J45),0)),1,ROUND(AVERAGE(J44:J45),0))</f>
        <v>1</v>
      </c>
    </row>
    <row r="44" spans="1:24" x14ac:dyDescent="0.25">
      <c r="B44" s="24" t="s">
        <v>39</v>
      </c>
      <c r="H44" s="93">
        <v>1</v>
      </c>
      <c r="I44" s="93" t="str">
        <f t="shared" si="2"/>
        <v/>
      </c>
      <c r="J44" s="93" t="str">
        <f>IF(H44=1,"",H44)</f>
        <v/>
      </c>
    </row>
    <row r="45" spans="1:24" x14ac:dyDescent="0.25">
      <c r="B45" s="24" t="s">
        <v>201</v>
      </c>
      <c r="H45" s="93">
        <v>1</v>
      </c>
      <c r="I45" s="93" t="str">
        <f t="shared" si="2"/>
        <v/>
      </c>
      <c r="J45" s="93" t="str">
        <f>IF(H45=1,"",H45)</f>
        <v/>
      </c>
    </row>
    <row r="46" spans="1:24" x14ac:dyDescent="0.25">
      <c r="B46" s="52" t="s">
        <v>205</v>
      </c>
      <c r="C46" s="56">
        <f>IF(ISERROR(IF(AVERAGE(I26,I27,I29,I30,I32,I33,I35,I36,I38,I39,I41,I42,I44,I45)&gt;=280,0,1-(AVERAGE(I26,I27,I29,I30,I32,I33,I35,I36,I38,I39,I41,I42,I44,I45)/280))),0,IF(AVERAGE(I26,I27,I29,I30,I32,I33,I35,I36,I38,I39,I41,I42,I44,I45)&gt;=280,0,1-(AVERAGE(I26,I27,I29,I30,I32,I33,I35,I36,I38,I39,I41,I42,I44,I45)/280)))</f>
        <v>0</v>
      </c>
    </row>
    <row r="48" spans="1:24" x14ac:dyDescent="0.25">
      <c r="B48" s="10" t="s">
        <v>42</v>
      </c>
      <c r="C48" s="10" t="s">
        <v>41</v>
      </c>
    </row>
    <row r="49" spans="1:24" x14ac:dyDescent="0.25">
      <c r="B49" s="12" t="s">
        <v>155</v>
      </c>
      <c r="C49" s="58" t="str">
        <f>IF(C52="",IF(ISERROR(((C50+C51)/2)),"",((C50+C51)/2)),IF(ISERROR(((C50+C51)/2)-(((C50+C51)/2)*C52)),"",((C50+C51)/2)-(((C50+C51)/2)*C52)))</f>
        <v/>
      </c>
    </row>
    <row r="50" spans="1:24" x14ac:dyDescent="0.25">
      <c r="B50" s="9" t="s">
        <v>43</v>
      </c>
      <c r="C50" s="57" t="str">
        <f>IF(C5=0,"",C5)</f>
        <v/>
      </c>
    </row>
    <row r="51" spans="1:24" x14ac:dyDescent="0.25">
      <c r="B51" s="9" t="s">
        <v>140</v>
      </c>
      <c r="C51" s="57" t="str">
        <f>IF(ISERROR(AVERAGE(I11:I21)),"",AVERAGE(I11:I21))</f>
        <v/>
      </c>
    </row>
    <row r="52" spans="1:24" x14ac:dyDescent="0.25">
      <c r="B52" s="24" t="s">
        <v>7</v>
      </c>
      <c r="C52" s="57" t="str">
        <f>IF(C46=0,"",C46)</f>
        <v/>
      </c>
      <c r="D52" s="59"/>
      <c r="E52" s="59"/>
      <c r="G52" s="59"/>
    </row>
    <row r="53" spans="1:24" x14ac:dyDescent="0.25">
      <c r="B53" s="52" t="s">
        <v>143</v>
      </c>
      <c r="C53" s="52" t="str">
        <f>IF(ISERROR(IF(C49="","",IF(C49&lt;=G4,"Abaixo do esperado",IF(C49&lt;=G5,"Dentro do esperado","Acima do esperado")))),"",IF(C49="","",IF(C49&lt;=G4,"Abaixo do esperado",IF(C49&lt;=G5,"Dentro do esperado","Acima do esperado"))))</f>
        <v/>
      </c>
      <c r="D53" s="59"/>
      <c r="F53" s="59"/>
    </row>
    <row r="54" spans="1:24" x14ac:dyDescent="0.25">
      <c r="H54" s="13"/>
      <c r="I54" s="13"/>
      <c r="J54" s="13"/>
      <c r="K54" s="13"/>
      <c r="L54" s="13"/>
      <c r="M54" s="13"/>
      <c r="N54" s="13"/>
      <c r="O54" s="13"/>
      <c r="P54" s="13"/>
      <c r="W54"/>
      <c r="X54"/>
    </row>
    <row r="55" spans="1:24" x14ac:dyDescent="0.25">
      <c r="B55" t="s">
        <v>156</v>
      </c>
      <c r="H55" s="13"/>
      <c r="I55" s="13"/>
      <c r="J55" s="13"/>
      <c r="K55" s="13"/>
      <c r="L55" s="13"/>
      <c r="M55" s="13"/>
      <c r="N55" s="13"/>
      <c r="O55" s="13"/>
      <c r="P55" s="13"/>
      <c r="W55"/>
      <c r="X55"/>
    </row>
    <row r="56" spans="1:24" x14ac:dyDescent="0.25">
      <c r="B56" s="10" t="s">
        <v>137</v>
      </c>
      <c r="C56" s="118" t="s">
        <v>138</v>
      </c>
      <c r="D56" s="118"/>
      <c r="E56" s="118"/>
      <c r="F56" s="118"/>
      <c r="G56" s="118"/>
    </row>
    <row r="57" spans="1:24" x14ac:dyDescent="0.25">
      <c r="A57" s="13" t="s">
        <v>75</v>
      </c>
      <c r="B57" s="63" t="str">
        <f>IF(H25=5,A25,IF(H28=5,A28,IF(H31=5,A31,IF(H34=5,A34,IF(H37=5,A37,IF(H40=5,A40,IF(H43=5,A43,IF(H25=4,A25,IF(H28=4,A28,IF(H31=4,A31,IF(H34=4,A34,IF(H37=4,A37,IF(H40=4,A40,IF(H43=4,A43,""))))))))))))))</f>
        <v/>
      </c>
      <c r="C57" s="119" t="str">
        <f>IF(H25=2,A25,IF(H28=2,A28,IF(H31=2,A31,IF(H34=2,A34,IF(H37=2,A37,IF(H40=2,A40,IF(H43=2,A43,IF(H25=3,A25,IF(H28=3,A28,IF(H31=3,A31,IF(H34=3,A34,IF(H37=3,A37,IF(H40=3,A40,IF(H43=3,A43,""))))))))))))))</f>
        <v/>
      </c>
      <c r="D57" s="119"/>
      <c r="E57" s="119"/>
      <c r="F57" s="119"/>
      <c r="G57" s="119"/>
    </row>
    <row r="58" spans="1:24" x14ac:dyDescent="0.25">
      <c r="A58" s="13" t="s">
        <v>80</v>
      </c>
      <c r="B58" s="11"/>
      <c r="C58" s="120"/>
      <c r="D58" s="120"/>
      <c r="E58" s="120"/>
      <c r="F58" s="120"/>
      <c r="G58" s="120"/>
    </row>
    <row r="59" spans="1:24" x14ac:dyDescent="0.25">
      <c r="A59" s="13" t="s">
        <v>84</v>
      </c>
    </row>
    <row r="60" spans="1:24" x14ac:dyDescent="0.25">
      <c r="A60" s="13" t="s">
        <v>87</v>
      </c>
    </row>
    <row r="61" spans="1:24" x14ac:dyDescent="0.25">
      <c r="A61" s="13" t="s">
        <v>91</v>
      </c>
    </row>
    <row r="62" spans="1:24" x14ac:dyDescent="0.25">
      <c r="A62" s="13" t="s">
        <v>96</v>
      </c>
    </row>
    <row r="63" spans="1:24" x14ac:dyDescent="0.25">
      <c r="A63" s="13" t="s">
        <v>100</v>
      </c>
    </row>
    <row r="64" spans="1:24" x14ac:dyDescent="0.25">
      <c r="A64" s="13" t="s">
        <v>139</v>
      </c>
    </row>
  </sheetData>
  <mergeCells count="3">
    <mergeCell ref="C56:G56"/>
    <mergeCell ref="C57:G57"/>
    <mergeCell ref="C58:G58"/>
  </mergeCells>
  <dataValidations count="1">
    <dataValidation type="list" allowBlank="1" showInputMessage="1" showErrorMessage="1" sqref="B57:G58">
      <formula1>$A$57:$A$64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15" r:id="rId4" name="Group Box 1395">
              <controlPr defaultSize="0" autoFill="0" autoPict="0">
                <anchor moveWithCells="1">
                  <from>
                    <xdr:col>2</xdr:col>
                    <xdr:colOff>9525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6" r:id="rId5" name="Option Button 1396">
              <controlPr defaultSize="0" autoFill="0" autoLine="0" autoPict="0">
                <anchor moveWithCells="1">
                  <from>
                    <xdr:col>2</xdr:col>
                    <xdr:colOff>304800</xdr:colOff>
                    <xdr:row>16</xdr:row>
                    <xdr:rowOff>0</xdr:rowOff>
                  </from>
                  <to>
                    <xdr:col>2</xdr:col>
                    <xdr:colOff>533400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7" r:id="rId6" name="Option Button 1397">
              <controlPr defaultSize="0" autoFill="0" autoLine="0" autoPict="0">
                <anchor moveWithCells="1">
                  <from>
                    <xdr:col>3</xdr:col>
                    <xdr:colOff>361950</xdr:colOff>
                    <xdr:row>16</xdr:row>
                    <xdr:rowOff>9525</xdr:rowOff>
                  </from>
                  <to>
                    <xdr:col>3</xdr:col>
                    <xdr:colOff>638175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8" r:id="rId7" name="Option Button 1398">
              <controlPr defaultSize="0" autoFill="0" autoLine="0" autoPict="0">
                <anchor moveWithCells="1">
                  <from>
                    <xdr:col>4</xdr:col>
                    <xdr:colOff>390525</xdr:colOff>
                    <xdr:row>16</xdr:row>
                    <xdr:rowOff>0</xdr:rowOff>
                  </from>
                  <to>
                    <xdr:col>4</xdr:col>
                    <xdr:colOff>666750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9" r:id="rId8" name="Option Button 1399">
              <controlPr defaultSize="0" autoFill="0" autoLine="0" autoPict="0">
                <anchor moveWithCells="1">
                  <from>
                    <xdr:col>5</xdr:col>
                    <xdr:colOff>457200</xdr:colOff>
                    <xdr:row>16</xdr:row>
                    <xdr:rowOff>9525</xdr:rowOff>
                  </from>
                  <to>
                    <xdr:col>5</xdr:col>
                    <xdr:colOff>714375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20" r:id="rId9" name="Option Button 1400">
              <controlPr defaultSize="0" autoFill="0" autoLine="0" autoPict="0">
                <anchor moveWithCells="1">
                  <from>
                    <xdr:col>6</xdr:col>
                    <xdr:colOff>333375</xdr:colOff>
                    <xdr:row>16</xdr:row>
                    <xdr:rowOff>9525</xdr:rowOff>
                  </from>
                  <to>
                    <xdr:col>6</xdr:col>
                    <xdr:colOff>628650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1" r:id="rId10" name="Group Box 1431">
              <controlPr defaultSize="0" autoFill="0" autoPict="0">
                <anchor moveWithCells="1">
                  <from>
                    <xdr:col>2</xdr:col>
                    <xdr:colOff>9525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2" r:id="rId11" name="Option Button 1432">
              <controlPr defaultSize="0" autoFill="0" autoLine="0" autoPict="0">
                <anchor moveWithCells="1">
                  <from>
                    <xdr:col>2</xdr:col>
                    <xdr:colOff>304800</xdr:colOff>
                    <xdr:row>14</xdr:row>
                    <xdr:rowOff>0</xdr:rowOff>
                  </from>
                  <to>
                    <xdr:col>2</xdr:col>
                    <xdr:colOff>533400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" r:id="rId12" name="Option Button 1433">
              <controlPr defaultSize="0" autoFill="0" autoLine="0" autoPict="0">
                <anchor moveWithCells="1">
                  <from>
                    <xdr:col>3</xdr:col>
                    <xdr:colOff>361950</xdr:colOff>
                    <xdr:row>14</xdr:row>
                    <xdr:rowOff>9525</xdr:rowOff>
                  </from>
                  <to>
                    <xdr:col>3</xdr:col>
                    <xdr:colOff>638175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" r:id="rId13" name="Option Button 1434">
              <controlPr defaultSize="0" autoFill="0" autoLine="0" autoPict="0">
                <anchor moveWithCells="1">
                  <from>
                    <xdr:col>4</xdr:col>
                    <xdr:colOff>390525</xdr:colOff>
                    <xdr:row>14</xdr:row>
                    <xdr:rowOff>0</xdr:rowOff>
                  </from>
                  <to>
                    <xdr:col>4</xdr:col>
                    <xdr:colOff>666750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" r:id="rId14" name="Option Button 1435">
              <controlPr defaultSize="0" autoFill="0" autoLine="0" autoPict="0">
                <anchor moveWithCells="1">
                  <from>
                    <xdr:col>5</xdr:col>
                    <xdr:colOff>457200</xdr:colOff>
                    <xdr:row>14</xdr:row>
                    <xdr:rowOff>9525</xdr:rowOff>
                  </from>
                  <to>
                    <xdr:col>5</xdr:col>
                    <xdr:colOff>714375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" r:id="rId15" name="Option Button 1436">
              <controlPr defaultSize="0" autoFill="0" autoLine="0" autoPict="0">
                <anchor moveWithCells="1">
                  <from>
                    <xdr:col>6</xdr:col>
                    <xdr:colOff>333375</xdr:colOff>
                    <xdr:row>14</xdr:row>
                    <xdr:rowOff>9525</xdr:rowOff>
                  </from>
                  <to>
                    <xdr:col>6</xdr:col>
                    <xdr:colOff>628650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8" r:id="rId16" name="Group Box 1588">
              <controlPr defaultSize="0" autoFill="0" autoPict="0">
                <anchor moveWithCells="1">
                  <from>
                    <xdr:col>2</xdr:col>
                    <xdr:colOff>9525</xdr:colOff>
                    <xdr:row>38</xdr:row>
                    <xdr:rowOff>0</xdr:rowOff>
                  </from>
                  <to>
                    <xdr:col>7</xdr:col>
                    <xdr:colOff>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9" r:id="rId17" name="Option Button 1589">
              <controlPr defaultSize="0" autoFill="0" autoLine="0" autoPict="0">
                <anchor moveWithCells="1">
                  <from>
                    <xdr:col>2</xdr:col>
                    <xdr:colOff>304800</xdr:colOff>
                    <xdr:row>38</xdr:row>
                    <xdr:rowOff>19050</xdr:rowOff>
                  </from>
                  <to>
                    <xdr:col>2</xdr:col>
                    <xdr:colOff>485775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" r:id="rId18" name="Option Button 1590">
              <controlPr defaultSize="0" autoFill="0" autoLine="0" autoPict="0">
                <anchor moveWithCells="1">
                  <from>
                    <xdr:col>3</xdr:col>
                    <xdr:colOff>371475</xdr:colOff>
                    <xdr:row>38</xdr:row>
                    <xdr:rowOff>19050</xdr:rowOff>
                  </from>
                  <to>
                    <xdr:col>3</xdr:col>
                    <xdr:colOff>542925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" r:id="rId19" name="Option Button 1591">
              <controlPr defaultSize="0" autoFill="0" autoLine="0" autoPict="0">
                <anchor moveWithCells="1">
                  <from>
                    <xdr:col>4</xdr:col>
                    <xdr:colOff>390525</xdr:colOff>
                    <xdr:row>38</xdr:row>
                    <xdr:rowOff>28575</xdr:rowOff>
                  </from>
                  <to>
                    <xdr:col>4</xdr:col>
                    <xdr:colOff>571500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" r:id="rId20" name="Option Button 1592">
              <controlPr defaultSize="0" autoFill="0" autoLine="0" autoPict="0">
                <anchor moveWithCells="1">
                  <from>
                    <xdr:col>5</xdr:col>
                    <xdr:colOff>495300</xdr:colOff>
                    <xdr:row>38</xdr:row>
                    <xdr:rowOff>19050</xdr:rowOff>
                  </from>
                  <to>
                    <xdr:col>5</xdr:col>
                    <xdr:colOff>657225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" r:id="rId21" name="Option Button 1593">
              <controlPr defaultSize="0" autoFill="0" autoLine="0" autoPict="0">
                <anchor moveWithCells="1">
                  <from>
                    <xdr:col>6</xdr:col>
                    <xdr:colOff>352425</xdr:colOff>
                    <xdr:row>38</xdr:row>
                    <xdr:rowOff>28575</xdr:rowOff>
                  </from>
                  <to>
                    <xdr:col>6</xdr:col>
                    <xdr:colOff>514350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0" r:id="rId22" name="Group Box 1600">
              <controlPr defaultSize="0" autoFill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7</xdr:col>
                    <xdr:colOff>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1" r:id="rId23" name="Option Button 1601">
              <controlPr defaultSize="0" autoFill="0" autoLine="0" autoPict="0">
                <anchor moveWithCells="1">
                  <from>
                    <xdr:col>2</xdr:col>
                    <xdr:colOff>304800</xdr:colOff>
                    <xdr:row>35</xdr:row>
                    <xdr:rowOff>19050</xdr:rowOff>
                  </from>
                  <to>
                    <xdr:col>2</xdr:col>
                    <xdr:colOff>485775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2" r:id="rId24" name="Option Button 1602">
              <controlPr defaultSize="0" autoFill="0" autoLine="0" autoPict="0">
                <anchor moveWithCells="1">
                  <from>
                    <xdr:col>3</xdr:col>
                    <xdr:colOff>371475</xdr:colOff>
                    <xdr:row>35</xdr:row>
                    <xdr:rowOff>19050</xdr:rowOff>
                  </from>
                  <to>
                    <xdr:col>3</xdr:col>
                    <xdr:colOff>542925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3" r:id="rId25" name="Option Button 1603">
              <controlPr defaultSize="0" autoFill="0" autoLine="0" autoPict="0">
                <anchor moveWithCells="1">
                  <from>
                    <xdr:col>4</xdr:col>
                    <xdr:colOff>390525</xdr:colOff>
                    <xdr:row>35</xdr:row>
                    <xdr:rowOff>28575</xdr:rowOff>
                  </from>
                  <to>
                    <xdr:col>4</xdr:col>
                    <xdr:colOff>571500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4" r:id="rId26" name="Option Button 1604">
              <controlPr defaultSize="0" autoFill="0" autoLine="0" autoPict="0">
                <anchor moveWithCells="1">
                  <from>
                    <xdr:col>5</xdr:col>
                    <xdr:colOff>485775</xdr:colOff>
                    <xdr:row>35</xdr:row>
                    <xdr:rowOff>19050</xdr:rowOff>
                  </from>
                  <to>
                    <xdr:col>5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5" r:id="rId27" name="Option Button 1605">
              <controlPr defaultSize="0" autoFill="0" autoLine="0" autoPict="0">
                <anchor moveWithCells="1">
                  <from>
                    <xdr:col>6</xdr:col>
                    <xdr:colOff>333375</xdr:colOff>
                    <xdr:row>35</xdr:row>
                    <xdr:rowOff>28575</xdr:rowOff>
                  </from>
                  <to>
                    <xdr:col>6</xdr:col>
                    <xdr:colOff>495300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1" r:id="rId28" name="Group Box 1631">
              <controlPr defaultSize="0" autoFill="0" autoPict="0">
                <anchor moveWithCells="1">
                  <from>
                    <xdr:col>2</xdr:col>
                    <xdr:colOff>9525</xdr:colOff>
                    <xdr:row>41</xdr:row>
                    <xdr:rowOff>0</xdr:rowOff>
                  </from>
                  <to>
                    <xdr:col>7</xdr:col>
                    <xdr:colOff>0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2" r:id="rId29" name="Option Button 1632">
              <controlPr defaultSize="0" autoFill="0" autoLine="0" autoPict="0">
                <anchor moveWithCells="1">
                  <from>
                    <xdr:col>2</xdr:col>
                    <xdr:colOff>304800</xdr:colOff>
                    <xdr:row>41</xdr:row>
                    <xdr:rowOff>19050</xdr:rowOff>
                  </from>
                  <to>
                    <xdr:col>2</xdr:col>
                    <xdr:colOff>485775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3" r:id="rId30" name="Option Button 1633">
              <controlPr defaultSize="0" autoFill="0" autoLine="0" autoPict="0">
                <anchor moveWithCells="1">
                  <from>
                    <xdr:col>3</xdr:col>
                    <xdr:colOff>371475</xdr:colOff>
                    <xdr:row>41</xdr:row>
                    <xdr:rowOff>19050</xdr:rowOff>
                  </from>
                  <to>
                    <xdr:col>3</xdr:col>
                    <xdr:colOff>542925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4" r:id="rId31" name="Option Button 1634">
              <controlPr defaultSize="0" autoFill="0" autoLine="0" autoPict="0">
                <anchor moveWithCells="1">
                  <from>
                    <xdr:col>4</xdr:col>
                    <xdr:colOff>390525</xdr:colOff>
                    <xdr:row>41</xdr:row>
                    <xdr:rowOff>28575</xdr:rowOff>
                  </from>
                  <to>
                    <xdr:col>4</xdr:col>
                    <xdr:colOff>571500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5" r:id="rId32" name="Option Button 1635">
              <controlPr defaultSize="0" autoFill="0" autoLine="0" autoPict="0">
                <anchor moveWithCells="1">
                  <from>
                    <xdr:col>5</xdr:col>
                    <xdr:colOff>504825</xdr:colOff>
                    <xdr:row>41</xdr:row>
                    <xdr:rowOff>19050</xdr:rowOff>
                  </from>
                  <to>
                    <xdr:col>5</xdr:col>
                    <xdr:colOff>666750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6" r:id="rId33" name="Option Button 1636">
              <controlPr defaultSize="0" autoFill="0" autoLine="0" autoPict="0">
                <anchor moveWithCells="1">
                  <from>
                    <xdr:col>6</xdr:col>
                    <xdr:colOff>352425</xdr:colOff>
                    <xdr:row>41</xdr:row>
                    <xdr:rowOff>28575</xdr:rowOff>
                  </from>
                  <to>
                    <xdr:col>6</xdr:col>
                    <xdr:colOff>514350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9" r:id="rId34" name="Group Box 1799">
              <controlPr defaultSize="0" autoFill="0" autoPict="0">
                <anchor moveWithCells="1">
                  <from>
                    <xdr:col>2</xdr:col>
                    <xdr:colOff>9525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0" r:id="rId35" name="Option Button 1800">
              <controlPr defaultSize="0" autoFill="0" autoLine="0" autoPict="0">
                <anchor moveWithCells="1">
                  <from>
                    <xdr:col>2</xdr:col>
                    <xdr:colOff>304800</xdr:colOff>
                    <xdr:row>40</xdr:row>
                    <xdr:rowOff>19050</xdr:rowOff>
                  </from>
                  <to>
                    <xdr:col>2</xdr:col>
                    <xdr:colOff>485775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1" r:id="rId36" name="Option Button 1801">
              <controlPr defaultSize="0" autoFill="0" autoLine="0" autoPict="0">
                <anchor moveWithCells="1">
                  <from>
                    <xdr:col>3</xdr:col>
                    <xdr:colOff>371475</xdr:colOff>
                    <xdr:row>40</xdr:row>
                    <xdr:rowOff>19050</xdr:rowOff>
                  </from>
                  <to>
                    <xdr:col>3</xdr:col>
                    <xdr:colOff>542925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2" r:id="rId37" name="Option Button 1802">
              <controlPr defaultSize="0" autoFill="0" autoLine="0" autoPict="0">
                <anchor moveWithCells="1">
                  <from>
                    <xdr:col>4</xdr:col>
                    <xdr:colOff>381000</xdr:colOff>
                    <xdr:row>40</xdr:row>
                    <xdr:rowOff>28575</xdr:rowOff>
                  </from>
                  <to>
                    <xdr:col>4</xdr:col>
                    <xdr:colOff>561975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3" r:id="rId38" name="Option Button 1803">
              <controlPr defaultSize="0" autoFill="0" autoLine="0" autoPict="0">
                <anchor moveWithCells="1">
                  <from>
                    <xdr:col>5</xdr:col>
                    <xdr:colOff>495300</xdr:colOff>
                    <xdr:row>40</xdr:row>
                    <xdr:rowOff>9525</xdr:rowOff>
                  </from>
                  <to>
                    <xdr:col>5</xdr:col>
                    <xdr:colOff>657225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4" r:id="rId39" name="Option Button 1804">
              <controlPr defaultSize="0" autoFill="0" autoLine="0" autoPict="0">
                <anchor moveWithCells="1">
                  <from>
                    <xdr:col>6</xdr:col>
                    <xdr:colOff>361950</xdr:colOff>
                    <xdr:row>40</xdr:row>
                    <xdr:rowOff>28575</xdr:rowOff>
                  </from>
                  <to>
                    <xdr:col>6</xdr:col>
                    <xdr:colOff>523875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7" r:id="rId40" name="Group Box 1807">
              <controlPr defaultSize="0" autoFill="0" autoPict="0">
                <anchor moveWithCells="1">
                  <from>
                    <xdr:col>2</xdr:col>
                    <xdr:colOff>9525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8" r:id="rId41" name="Option Button 1808">
              <controlPr defaultSize="0" autoFill="0" autoLine="0" autoPict="0">
                <anchor moveWithCells="1">
                  <from>
                    <xdr:col>2</xdr:col>
                    <xdr:colOff>304800</xdr:colOff>
                    <xdr:row>13</xdr:row>
                    <xdr:rowOff>0</xdr:rowOff>
                  </from>
                  <to>
                    <xdr:col>2</xdr:col>
                    <xdr:colOff>533400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9" r:id="rId42" name="Option Button 1809">
              <controlPr defaultSize="0" autoFill="0" autoLine="0" autoPict="0">
                <anchor moveWithCells="1">
                  <from>
                    <xdr:col>3</xdr:col>
                    <xdr:colOff>361950</xdr:colOff>
                    <xdr:row>13</xdr:row>
                    <xdr:rowOff>9525</xdr:rowOff>
                  </from>
                  <to>
                    <xdr:col>3</xdr:col>
                    <xdr:colOff>638175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0" r:id="rId43" name="Option Button 1810">
              <controlPr defaultSize="0" autoFill="0" autoLine="0" autoPict="0">
                <anchor moveWithCells="1">
                  <from>
                    <xdr:col>4</xdr:col>
                    <xdr:colOff>390525</xdr:colOff>
                    <xdr:row>13</xdr:row>
                    <xdr:rowOff>0</xdr:rowOff>
                  </from>
                  <to>
                    <xdr:col>4</xdr:col>
                    <xdr:colOff>666750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1" r:id="rId44" name="Option Button 1811">
              <controlPr defaultSize="0" autoFill="0" autoLine="0" autoPict="0">
                <anchor moveWithCells="1">
                  <from>
                    <xdr:col>5</xdr:col>
                    <xdr:colOff>457200</xdr:colOff>
                    <xdr:row>13</xdr:row>
                    <xdr:rowOff>9525</xdr:rowOff>
                  </from>
                  <to>
                    <xdr:col>5</xdr:col>
                    <xdr:colOff>714375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2" r:id="rId45" name="Option Button 1812">
              <controlPr defaultSize="0" autoFill="0" autoLine="0" autoPict="0">
                <anchor moveWithCells="1">
                  <from>
                    <xdr:col>6</xdr:col>
                    <xdr:colOff>333375</xdr:colOff>
                    <xdr:row>13</xdr:row>
                    <xdr:rowOff>9525</xdr:rowOff>
                  </from>
                  <to>
                    <xdr:col>6</xdr:col>
                    <xdr:colOff>628650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45" r:id="rId46" name="Group Box 1825">
              <controlPr defaultSize="0" autoFill="0" autoPict="0">
                <anchor moveWithCells="1">
                  <from>
                    <xdr:col>2</xdr:col>
                    <xdr:colOff>9525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46" r:id="rId47" name="Option Button 1826">
              <controlPr defaultSize="0" autoFill="0" autoLine="0" autoPict="0">
                <anchor moveWithCells="1">
                  <from>
                    <xdr:col>2</xdr:col>
                    <xdr:colOff>304800</xdr:colOff>
                    <xdr:row>12</xdr:row>
                    <xdr:rowOff>0</xdr:rowOff>
                  </from>
                  <to>
                    <xdr:col>2</xdr:col>
                    <xdr:colOff>533400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47" r:id="rId48" name="Option Button 1827">
              <controlPr defaultSize="0" autoFill="0" autoLine="0" autoPict="0">
                <anchor moveWithCells="1">
                  <from>
                    <xdr:col>3</xdr:col>
                    <xdr:colOff>361950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48" r:id="rId49" name="Option Button 1828">
              <controlPr defaultSize="0" autoFill="0" autoLine="0" autoPict="0">
                <anchor moveWithCells="1">
                  <from>
                    <xdr:col>4</xdr:col>
                    <xdr:colOff>390525</xdr:colOff>
                    <xdr:row>12</xdr:row>
                    <xdr:rowOff>0</xdr:rowOff>
                  </from>
                  <to>
                    <xdr:col>4</xdr:col>
                    <xdr:colOff>666750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49" r:id="rId50" name="Option Button 1829">
              <controlPr defaultSize="0" autoFill="0" autoLine="0" autoPict="0">
                <anchor moveWithCells="1">
                  <from>
                    <xdr:col>5</xdr:col>
                    <xdr:colOff>457200</xdr:colOff>
                    <xdr:row>12</xdr:row>
                    <xdr:rowOff>9525</xdr:rowOff>
                  </from>
                  <to>
                    <xdr:col>5</xdr:col>
                    <xdr:colOff>714375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50" r:id="rId51" name="Option Button 1830">
              <controlPr defaultSize="0" autoFill="0" autoLine="0" autoPict="0">
                <anchor moveWithCells="1">
                  <from>
                    <xdr:col>6</xdr:col>
                    <xdr:colOff>333375</xdr:colOff>
                    <xdr:row>12</xdr:row>
                    <xdr:rowOff>9525</xdr:rowOff>
                  </from>
                  <to>
                    <xdr:col>6</xdr:col>
                    <xdr:colOff>628650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51" r:id="rId52" name="Group Box 1831">
              <controlPr defaultSize="0" autoFill="0" autoPict="0">
                <anchor moveWithCells="1">
                  <from>
                    <xdr:col>2</xdr:col>
                    <xdr:colOff>9525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52" r:id="rId53" name="Option Button 1832">
              <controlPr defaultSize="0" autoFill="0" autoLine="0" autoPict="0">
                <anchor moveWithCells="1">
                  <from>
                    <xdr:col>2</xdr:col>
                    <xdr:colOff>304800</xdr:colOff>
                    <xdr:row>11</xdr:row>
                    <xdr:rowOff>0</xdr:rowOff>
                  </from>
                  <to>
                    <xdr:col>2</xdr:col>
                    <xdr:colOff>533400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53" r:id="rId54" name="Option Button 1833">
              <controlPr defaultSize="0" autoFill="0" autoLine="0" autoPict="0">
                <anchor moveWithCells="1">
                  <from>
                    <xdr:col>3</xdr:col>
                    <xdr:colOff>361950</xdr:colOff>
                    <xdr:row>11</xdr:row>
                    <xdr:rowOff>9525</xdr:rowOff>
                  </from>
                  <to>
                    <xdr:col>3</xdr:col>
                    <xdr:colOff>638175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54" r:id="rId55" name="Option Button 1834">
              <controlPr defaultSize="0" autoFill="0" autoLine="0" autoPict="0">
                <anchor moveWithCells="1">
                  <from>
                    <xdr:col>4</xdr:col>
                    <xdr:colOff>381000</xdr:colOff>
                    <xdr:row>11</xdr:row>
                    <xdr:rowOff>0</xdr:rowOff>
                  </from>
                  <to>
                    <xdr:col>4</xdr:col>
                    <xdr:colOff>657225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55" r:id="rId56" name="Option Button 1835">
              <controlPr defaultSize="0" autoFill="0" autoLine="0" autoPict="0">
                <anchor moveWithCells="1">
                  <from>
                    <xdr:col>5</xdr:col>
                    <xdr:colOff>457200</xdr:colOff>
                    <xdr:row>11</xdr:row>
                    <xdr:rowOff>9525</xdr:rowOff>
                  </from>
                  <to>
                    <xdr:col>5</xdr:col>
                    <xdr:colOff>714375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56" r:id="rId57" name="Option Button 1836">
              <controlPr defaultSize="0" autoFill="0" autoLine="0" autoPict="0">
                <anchor moveWithCells="1">
                  <from>
                    <xdr:col>6</xdr:col>
                    <xdr:colOff>333375</xdr:colOff>
                    <xdr:row>11</xdr:row>
                    <xdr:rowOff>9525</xdr:rowOff>
                  </from>
                  <to>
                    <xdr:col>6</xdr:col>
                    <xdr:colOff>628650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7" r:id="rId58" name="Group Box 1867">
              <controlPr defaultSize="0" autoFill="0" autoPict="0">
                <anchor moveWithCells="1">
                  <from>
                    <xdr:col>2</xdr:col>
                    <xdr:colOff>9525</xdr:colOff>
                    <xdr:row>34</xdr:row>
                    <xdr:rowOff>0</xdr:rowOff>
                  </from>
                  <to>
                    <xdr:col>7</xdr:col>
                    <xdr:colOff>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8" r:id="rId59" name="Option Button 1868">
              <controlPr defaultSize="0" autoFill="0" autoLine="0" autoPict="0">
                <anchor moveWithCells="1">
                  <from>
                    <xdr:col>2</xdr:col>
                    <xdr:colOff>304800</xdr:colOff>
                    <xdr:row>34</xdr:row>
                    <xdr:rowOff>19050</xdr:rowOff>
                  </from>
                  <to>
                    <xdr:col>2</xdr:col>
                    <xdr:colOff>485775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9" r:id="rId60" name="Option Button 1869">
              <controlPr defaultSize="0" autoFill="0" autoLine="0" autoPict="0">
                <anchor moveWithCells="1">
                  <from>
                    <xdr:col>3</xdr:col>
                    <xdr:colOff>371475</xdr:colOff>
                    <xdr:row>34</xdr:row>
                    <xdr:rowOff>19050</xdr:rowOff>
                  </from>
                  <to>
                    <xdr:col>3</xdr:col>
                    <xdr:colOff>542925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90" r:id="rId61" name="Option Button 1870">
              <controlPr defaultSize="0" autoFill="0" autoLine="0" autoPict="0">
                <anchor moveWithCells="1">
                  <from>
                    <xdr:col>4</xdr:col>
                    <xdr:colOff>390525</xdr:colOff>
                    <xdr:row>34</xdr:row>
                    <xdr:rowOff>28575</xdr:rowOff>
                  </from>
                  <to>
                    <xdr:col>4</xdr:col>
                    <xdr:colOff>571500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91" r:id="rId62" name="Option Button 1871">
              <controlPr defaultSize="0" autoFill="0" autoLine="0" autoPict="0">
                <anchor moveWithCells="1">
                  <from>
                    <xdr:col>5</xdr:col>
                    <xdr:colOff>485775</xdr:colOff>
                    <xdr:row>34</xdr:row>
                    <xdr:rowOff>19050</xdr:rowOff>
                  </from>
                  <to>
                    <xdr:col>5</xdr:col>
                    <xdr:colOff>647700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92" r:id="rId63" name="Option Button 1872">
              <controlPr defaultSize="0" autoFill="0" autoLine="0" autoPict="0">
                <anchor moveWithCells="1">
                  <from>
                    <xdr:col>6</xdr:col>
                    <xdr:colOff>333375</xdr:colOff>
                    <xdr:row>34</xdr:row>
                    <xdr:rowOff>28575</xdr:rowOff>
                  </from>
                  <to>
                    <xdr:col>6</xdr:col>
                    <xdr:colOff>495300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93" r:id="rId64" name="Group Box 1873">
              <controlPr defaultSize="0" autoFill="0" autoPict="0">
                <anchor moveWithCells="1">
                  <from>
                    <xdr:col>2</xdr:col>
                    <xdr:colOff>9525</xdr:colOff>
                    <xdr:row>37</xdr:row>
                    <xdr:rowOff>0</xdr:rowOff>
                  </from>
                  <to>
                    <xdr:col>7</xdr:col>
                    <xdr:colOff>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94" r:id="rId65" name="Option Button 1874">
              <controlPr defaultSize="0" autoFill="0" autoLine="0" autoPict="0">
                <anchor moveWithCells="1">
                  <from>
                    <xdr:col>2</xdr:col>
                    <xdr:colOff>304800</xdr:colOff>
                    <xdr:row>37</xdr:row>
                    <xdr:rowOff>19050</xdr:rowOff>
                  </from>
                  <to>
                    <xdr:col>2</xdr:col>
                    <xdr:colOff>485775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95" r:id="rId66" name="Option Button 1875">
              <controlPr defaultSize="0" autoFill="0" autoLine="0" autoPict="0">
                <anchor moveWithCells="1">
                  <from>
                    <xdr:col>3</xdr:col>
                    <xdr:colOff>371475</xdr:colOff>
                    <xdr:row>37</xdr:row>
                    <xdr:rowOff>19050</xdr:rowOff>
                  </from>
                  <to>
                    <xdr:col>3</xdr:col>
                    <xdr:colOff>542925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96" r:id="rId67" name="Option Button 1876">
              <controlPr defaultSize="0" autoFill="0" autoLine="0" autoPict="0">
                <anchor moveWithCells="1">
                  <from>
                    <xdr:col>4</xdr:col>
                    <xdr:colOff>390525</xdr:colOff>
                    <xdr:row>37</xdr:row>
                    <xdr:rowOff>28575</xdr:rowOff>
                  </from>
                  <to>
                    <xdr:col>4</xdr:col>
                    <xdr:colOff>571500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97" r:id="rId68" name="Option Button 1877">
              <controlPr defaultSize="0" autoFill="0" autoLine="0" autoPict="0">
                <anchor moveWithCells="1">
                  <from>
                    <xdr:col>5</xdr:col>
                    <xdr:colOff>495300</xdr:colOff>
                    <xdr:row>37</xdr:row>
                    <xdr:rowOff>19050</xdr:rowOff>
                  </from>
                  <to>
                    <xdr:col>5</xdr:col>
                    <xdr:colOff>657225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98" r:id="rId69" name="Option Button 1878">
              <controlPr defaultSize="0" autoFill="0" autoLine="0" autoPict="0">
                <anchor moveWithCells="1">
                  <from>
                    <xdr:col>6</xdr:col>
                    <xdr:colOff>342900</xdr:colOff>
                    <xdr:row>37</xdr:row>
                    <xdr:rowOff>28575</xdr:rowOff>
                  </from>
                  <to>
                    <xdr:col>6</xdr:col>
                    <xdr:colOff>504825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99" r:id="rId70" name="Group Box 1879">
              <controlPr defaultSize="0" autoFill="0" autoPict="0">
                <anchor moveWithCells="1">
                  <from>
                    <xdr:col>2</xdr:col>
                    <xdr:colOff>9525</xdr:colOff>
                    <xdr:row>43</xdr:row>
                    <xdr:rowOff>0</xdr:rowOff>
                  </from>
                  <to>
                    <xdr:col>7</xdr:col>
                    <xdr:colOff>0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0" r:id="rId71" name="Option Button 1880">
              <controlPr defaultSize="0" autoFill="0" autoLine="0" autoPict="0">
                <anchor moveWithCells="1">
                  <from>
                    <xdr:col>2</xdr:col>
                    <xdr:colOff>304800</xdr:colOff>
                    <xdr:row>43</xdr:row>
                    <xdr:rowOff>19050</xdr:rowOff>
                  </from>
                  <to>
                    <xdr:col>2</xdr:col>
                    <xdr:colOff>485775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1" r:id="rId72" name="Option Button 1881">
              <controlPr defaultSize="0" autoFill="0" autoLine="0" autoPict="0">
                <anchor moveWithCells="1">
                  <from>
                    <xdr:col>3</xdr:col>
                    <xdr:colOff>371475</xdr:colOff>
                    <xdr:row>43</xdr:row>
                    <xdr:rowOff>19050</xdr:rowOff>
                  </from>
                  <to>
                    <xdr:col>3</xdr:col>
                    <xdr:colOff>542925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2" r:id="rId73" name="Option Button 1882">
              <controlPr defaultSize="0" autoFill="0" autoLine="0" autoPict="0">
                <anchor moveWithCells="1">
                  <from>
                    <xdr:col>4</xdr:col>
                    <xdr:colOff>390525</xdr:colOff>
                    <xdr:row>43</xdr:row>
                    <xdr:rowOff>28575</xdr:rowOff>
                  </from>
                  <to>
                    <xdr:col>4</xdr:col>
                    <xdr:colOff>571500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3" r:id="rId74" name="Option Button 1883">
              <controlPr defaultSize="0" autoFill="0" autoLine="0" autoPict="0">
                <anchor moveWithCells="1">
                  <from>
                    <xdr:col>5</xdr:col>
                    <xdr:colOff>504825</xdr:colOff>
                    <xdr:row>43</xdr:row>
                    <xdr:rowOff>19050</xdr:rowOff>
                  </from>
                  <to>
                    <xdr:col>5</xdr:col>
                    <xdr:colOff>666750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" r:id="rId75" name="Option Button 1884">
              <controlPr defaultSize="0" autoFill="0" autoLine="0" autoPict="0">
                <anchor moveWithCells="1">
                  <from>
                    <xdr:col>6</xdr:col>
                    <xdr:colOff>352425</xdr:colOff>
                    <xdr:row>43</xdr:row>
                    <xdr:rowOff>28575</xdr:rowOff>
                  </from>
                  <to>
                    <xdr:col>6</xdr:col>
                    <xdr:colOff>514350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35" r:id="rId76" name="Group Box 1915">
              <controlPr defaultSize="0" autoFill="0" autoPict="0">
                <anchor moveWithCells="1">
                  <from>
                    <xdr:col>2</xdr:col>
                    <xdr:colOff>9525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36" r:id="rId77" name="Option Button 1916">
              <controlPr defaultSize="0" autoFill="0" autoLine="0" autoPict="0">
                <anchor moveWithCells="1">
                  <from>
                    <xdr:col>2</xdr:col>
                    <xdr:colOff>304800</xdr:colOff>
                    <xdr:row>17</xdr:row>
                    <xdr:rowOff>0</xdr:rowOff>
                  </from>
                  <to>
                    <xdr:col>2</xdr:col>
                    <xdr:colOff>533400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37" r:id="rId78" name="Option Button 1917">
              <controlPr defaultSize="0" autoFill="0" autoLine="0" autoPict="0">
                <anchor moveWithCells="1">
                  <from>
                    <xdr:col>3</xdr:col>
                    <xdr:colOff>361950</xdr:colOff>
                    <xdr:row>17</xdr:row>
                    <xdr:rowOff>9525</xdr:rowOff>
                  </from>
                  <to>
                    <xdr:col>3</xdr:col>
                    <xdr:colOff>638175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38" r:id="rId79" name="Option Button 1918">
              <controlPr defaultSize="0" autoFill="0" autoLine="0" autoPict="0">
                <anchor moveWithCells="1">
                  <from>
                    <xdr:col>4</xdr:col>
                    <xdr:colOff>390525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39" r:id="rId80" name="Option Button 1919">
              <controlPr defaultSize="0" autoFill="0" autoLine="0" autoPict="0">
                <anchor moveWithCells="1">
                  <from>
                    <xdr:col>5</xdr:col>
                    <xdr:colOff>457200</xdr:colOff>
                    <xdr:row>17</xdr:row>
                    <xdr:rowOff>9525</xdr:rowOff>
                  </from>
                  <to>
                    <xdr:col>5</xdr:col>
                    <xdr:colOff>714375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0" r:id="rId81" name="Option Button 1920">
              <controlPr defaultSize="0" autoFill="0" autoLine="0" autoPict="0">
                <anchor moveWithCells="1">
                  <from>
                    <xdr:col>6</xdr:col>
                    <xdr:colOff>333375</xdr:colOff>
                    <xdr:row>17</xdr:row>
                    <xdr:rowOff>9525</xdr:rowOff>
                  </from>
                  <to>
                    <xdr:col>6</xdr:col>
                    <xdr:colOff>628650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1" r:id="rId82" name="Group Box 1921">
              <controlPr defaultSize="0" autoFill="0" autoPict="0">
                <anchor moveWithCells="1">
                  <from>
                    <xdr:col>2</xdr:col>
                    <xdr:colOff>9525</xdr:colOff>
                    <xdr:row>33</xdr:row>
                    <xdr:rowOff>0</xdr:rowOff>
                  </from>
                  <to>
                    <xdr:col>7</xdr:col>
                    <xdr:colOff>0</xdr:colOff>
                    <xdr:row>33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2" r:id="rId83" name="Option Button 1922">
              <controlPr defaultSize="0" autoFill="0" autoLine="0" autoPict="0">
                <anchor moveWithCells="1">
                  <from>
                    <xdr:col>2</xdr:col>
                    <xdr:colOff>304800</xdr:colOff>
                    <xdr:row>33</xdr:row>
                    <xdr:rowOff>95250</xdr:rowOff>
                  </from>
                  <to>
                    <xdr:col>2</xdr:col>
                    <xdr:colOff>533400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3" r:id="rId84" name="Option Button 1923">
              <controlPr defaultSize="0" autoFill="0" autoLine="0" autoPict="0">
                <anchor moveWithCells="1">
                  <from>
                    <xdr:col>3</xdr:col>
                    <xdr:colOff>361950</xdr:colOff>
                    <xdr:row>33</xdr:row>
                    <xdr:rowOff>95250</xdr:rowOff>
                  </from>
                  <to>
                    <xdr:col>3</xdr:col>
                    <xdr:colOff>638175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4" r:id="rId85" name="Option Button 1924">
              <controlPr defaultSize="0" autoFill="0" autoLine="0" autoPict="0">
                <anchor moveWithCells="1">
                  <from>
                    <xdr:col>4</xdr:col>
                    <xdr:colOff>381000</xdr:colOff>
                    <xdr:row>33</xdr:row>
                    <xdr:rowOff>95250</xdr:rowOff>
                  </from>
                  <to>
                    <xdr:col>4</xdr:col>
                    <xdr:colOff>657225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5" r:id="rId86" name="Option Button 1925">
              <controlPr defaultSize="0" autoFill="0" autoLine="0" autoPict="0">
                <anchor moveWithCells="1">
                  <from>
                    <xdr:col>5</xdr:col>
                    <xdr:colOff>466725</xdr:colOff>
                    <xdr:row>33</xdr:row>
                    <xdr:rowOff>95250</xdr:rowOff>
                  </from>
                  <to>
                    <xdr:col>5</xdr:col>
                    <xdr:colOff>723900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6" r:id="rId87" name="Option Button 1926">
              <controlPr defaultSize="0" autoFill="0" autoLine="0" autoPict="0">
                <anchor moveWithCells="1">
                  <from>
                    <xdr:col>6</xdr:col>
                    <xdr:colOff>333375</xdr:colOff>
                    <xdr:row>33</xdr:row>
                    <xdr:rowOff>104775</xdr:rowOff>
                  </from>
                  <to>
                    <xdr:col>6</xdr:col>
                    <xdr:colOff>628650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3" r:id="rId88" name="Group Box 1933">
              <controlPr defaultSize="0" autoFill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7</xdr:col>
                    <xdr:colOff>0</xdr:colOff>
                    <xdr:row>36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4" r:id="rId89" name="Option Button 1934">
              <controlPr defaultSize="0" autoFill="0" autoLine="0" autoPict="0">
                <anchor moveWithCells="1">
                  <from>
                    <xdr:col>2</xdr:col>
                    <xdr:colOff>304800</xdr:colOff>
                    <xdr:row>36</xdr:row>
                    <xdr:rowOff>95250</xdr:rowOff>
                  </from>
                  <to>
                    <xdr:col>2</xdr:col>
                    <xdr:colOff>533400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5" r:id="rId90" name="Option Button 1935">
              <controlPr defaultSize="0" autoFill="0" autoLine="0" autoPict="0">
                <anchor moveWithCells="1">
                  <from>
                    <xdr:col>3</xdr:col>
                    <xdr:colOff>361950</xdr:colOff>
                    <xdr:row>36</xdr:row>
                    <xdr:rowOff>95250</xdr:rowOff>
                  </from>
                  <to>
                    <xdr:col>3</xdr:col>
                    <xdr:colOff>638175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6" r:id="rId91" name="Option Button 1936">
              <controlPr defaultSize="0" autoFill="0" autoLine="0" autoPict="0">
                <anchor moveWithCells="1">
                  <from>
                    <xdr:col>4</xdr:col>
                    <xdr:colOff>381000</xdr:colOff>
                    <xdr:row>36</xdr:row>
                    <xdr:rowOff>95250</xdr:rowOff>
                  </from>
                  <to>
                    <xdr:col>4</xdr:col>
                    <xdr:colOff>657225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7" r:id="rId92" name="Option Button 1937">
              <controlPr defaultSize="0" autoFill="0" autoLine="0" autoPict="0">
                <anchor moveWithCells="1">
                  <from>
                    <xdr:col>5</xdr:col>
                    <xdr:colOff>485775</xdr:colOff>
                    <xdr:row>36</xdr:row>
                    <xdr:rowOff>95250</xdr:rowOff>
                  </from>
                  <to>
                    <xdr:col>5</xdr:col>
                    <xdr:colOff>742950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8" r:id="rId93" name="Option Button 1938">
              <controlPr defaultSize="0" autoFill="0" autoLine="0" autoPict="0">
                <anchor moveWithCells="1">
                  <from>
                    <xdr:col>6</xdr:col>
                    <xdr:colOff>333375</xdr:colOff>
                    <xdr:row>36</xdr:row>
                    <xdr:rowOff>104775</xdr:rowOff>
                  </from>
                  <to>
                    <xdr:col>6</xdr:col>
                    <xdr:colOff>628650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9" r:id="rId94" name="Group Box 1939">
              <controlPr defaultSize="0" autoFill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" r:id="rId95" name="Group Box 1945">
              <controlPr defaultSize="0" autoFill="0" autoPict="0">
                <anchor moveWithCells="1">
                  <from>
                    <xdr:col>2</xdr:col>
                    <xdr:colOff>9525</xdr:colOff>
                    <xdr:row>39</xdr:row>
                    <xdr:rowOff>0</xdr:rowOff>
                  </from>
                  <to>
                    <xdr:col>7</xdr:col>
                    <xdr:colOff>0</xdr:colOff>
                    <xdr:row>39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" r:id="rId96" name="Option Button 1946">
              <controlPr defaultSize="0" autoFill="0" autoLine="0" autoPict="0">
                <anchor moveWithCells="1">
                  <from>
                    <xdr:col>2</xdr:col>
                    <xdr:colOff>304800</xdr:colOff>
                    <xdr:row>39</xdr:row>
                    <xdr:rowOff>95250</xdr:rowOff>
                  </from>
                  <to>
                    <xdr:col>2</xdr:col>
                    <xdr:colOff>533400</xdr:colOff>
                    <xdr:row>39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" r:id="rId97" name="Option Button 1947">
              <controlPr defaultSize="0" autoFill="0" autoLine="0" autoPict="0">
                <anchor moveWithCells="1">
                  <from>
                    <xdr:col>3</xdr:col>
                    <xdr:colOff>361950</xdr:colOff>
                    <xdr:row>39</xdr:row>
                    <xdr:rowOff>95250</xdr:rowOff>
                  </from>
                  <to>
                    <xdr:col>3</xdr:col>
                    <xdr:colOff>638175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" r:id="rId98" name="Option Button 1948">
              <controlPr defaultSize="0" autoFill="0" autoLine="0" autoPict="0">
                <anchor moveWithCells="1">
                  <from>
                    <xdr:col>4</xdr:col>
                    <xdr:colOff>381000</xdr:colOff>
                    <xdr:row>39</xdr:row>
                    <xdr:rowOff>95250</xdr:rowOff>
                  </from>
                  <to>
                    <xdr:col>4</xdr:col>
                    <xdr:colOff>657225</xdr:colOff>
                    <xdr:row>39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" r:id="rId99" name="Option Button 1949">
              <controlPr defaultSize="0" autoFill="0" autoLine="0" autoPict="0">
                <anchor moveWithCells="1">
                  <from>
                    <xdr:col>5</xdr:col>
                    <xdr:colOff>495300</xdr:colOff>
                    <xdr:row>39</xdr:row>
                    <xdr:rowOff>95250</xdr:rowOff>
                  </from>
                  <to>
                    <xdr:col>5</xdr:col>
                    <xdr:colOff>752475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" r:id="rId100" name="Option Button 1950">
              <controlPr defaultSize="0" autoFill="0" autoLine="0" autoPict="0">
                <anchor moveWithCells="1">
                  <from>
                    <xdr:col>6</xdr:col>
                    <xdr:colOff>333375</xdr:colOff>
                    <xdr:row>39</xdr:row>
                    <xdr:rowOff>104775</xdr:rowOff>
                  </from>
                  <to>
                    <xdr:col>6</xdr:col>
                    <xdr:colOff>628650</xdr:colOff>
                    <xdr:row>39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" r:id="rId101" name="Group Box 1957">
              <controlPr defaultSize="0" autoFill="0" autoPict="0">
                <anchor moveWithCells="1">
                  <from>
                    <xdr:col>2</xdr:col>
                    <xdr:colOff>9525</xdr:colOff>
                    <xdr:row>42</xdr:row>
                    <xdr:rowOff>0</xdr:rowOff>
                  </from>
                  <to>
                    <xdr:col>7</xdr:col>
                    <xdr:colOff>0</xdr:colOff>
                    <xdr:row>42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" r:id="rId102" name="Option Button 1958">
              <controlPr defaultSize="0" autoFill="0" autoLine="0" autoPict="0">
                <anchor moveWithCells="1">
                  <from>
                    <xdr:col>2</xdr:col>
                    <xdr:colOff>304800</xdr:colOff>
                    <xdr:row>42</xdr:row>
                    <xdr:rowOff>95250</xdr:rowOff>
                  </from>
                  <to>
                    <xdr:col>2</xdr:col>
                    <xdr:colOff>533400</xdr:colOff>
                    <xdr:row>42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" r:id="rId103" name="Option Button 1959">
              <controlPr defaultSize="0" autoFill="0" autoLine="0" autoPict="0">
                <anchor moveWithCells="1">
                  <from>
                    <xdr:col>3</xdr:col>
                    <xdr:colOff>361950</xdr:colOff>
                    <xdr:row>42</xdr:row>
                    <xdr:rowOff>95250</xdr:rowOff>
                  </from>
                  <to>
                    <xdr:col>3</xdr:col>
                    <xdr:colOff>638175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" r:id="rId104" name="Option Button 1960">
              <controlPr defaultSize="0" autoFill="0" autoLine="0" autoPict="0">
                <anchor moveWithCells="1">
                  <from>
                    <xdr:col>4</xdr:col>
                    <xdr:colOff>381000</xdr:colOff>
                    <xdr:row>42</xdr:row>
                    <xdr:rowOff>95250</xdr:rowOff>
                  </from>
                  <to>
                    <xdr:col>4</xdr:col>
                    <xdr:colOff>657225</xdr:colOff>
                    <xdr:row>42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" r:id="rId105" name="Option Button 1961">
              <controlPr defaultSize="0" autoFill="0" autoLine="0" autoPict="0">
                <anchor moveWithCells="1">
                  <from>
                    <xdr:col>5</xdr:col>
                    <xdr:colOff>485775</xdr:colOff>
                    <xdr:row>42</xdr:row>
                    <xdr:rowOff>95250</xdr:rowOff>
                  </from>
                  <to>
                    <xdr:col>5</xdr:col>
                    <xdr:colOff>742950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" r:id="rId106" name="Option Button 1962">
              <controlPr defaultSize="0" autoFill="0" autoLine="0" autoPict="0">
                <anchor moveWithCells="1">
                  <from>
                    <xdr:col>6</xdr:col>
                    <xdr:colOff>333375</xdr:colOff>
                    <xdr:row>42</xdr:row>
                    <xdr:rowOff>104775</xdr:rowOff>
                  </from>
                  <to>
                    <xdr:col>6</xdr:col>
                    <xdr:colOff>628650</xdr:colOff>
                    <xdr:row>42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" r:id="rId107" name="Group Box 1963">
              <controlPr defaultSize="0" autoFill="0" autoPict="0">
                <anchor moveWithCells="1">
                  <from>
                    <xdr:col>2</xdr:col>
                    <xdr:colOff>9525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01" r:id="rId108" name="Group Box 1981">
              <controlPr defaultSize="0" autoFill="0" autoPict="0">
                <anchor moveWithCells="1">
                  <from>
                    <xdr:col>2</xdr:col>
                    <xdr:colOff>9525</xdr:colOff>
                    <xdr:row>44</xdr:row>
                    <xdr:rowOff>0</xdr:rowOff>
                  </from>
                  <to>
                    <xdr:col>7</xdr:col>
                    <xdr:colOff>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02" r:id="rId109" name="Option Button 1982">
              <controlPr defaultSize="0" autoFill="0" autoLine="0" autoPict="0">
                <anchor moveWithCells="1">
                  <from>
                    <xdr:col>2</xdr:col>
                    <xdr:colOff>304800</xdr:colOff>
                    <xdr:row>44</xdr:row>
                    <xdr:rowOff>19050</xdr:rowOff>
                  </from>
                  <to>
                    <xdr:col>2</xdr:col>
                    <xdr:colOff>485775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03" r:id="rId110" name="Option Button 1983">
              <controlPr defaultSize="0" autoFill="0" autoLine="0" autoPict="0">
                <anchor moveWithCells="1">
                  <from>
                    <xdr:col>3</xdr:col>
                    <xdr:colOff>371475</xdr:colOff>
                    <xdr:row>44</xdr:row>
                    <xdr:rowOff>19050</xdr:rowOff>
                  </from>
                  <to>
                    <xdr:col>3</xdr:col>
                    <xdr:colOff>542925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04" r:id="rId111" name="Option Button 1984">
              <controlPr defaultSize="0" autoFill="0" autoLine="0" autoPict="0">
                <anchor moveWithCells="1">
                  <from>
                    <xdr:col>4</xdr:col>
                    <xdr:colOff>390525</xdr:colOff>
                    <xdr:row>44</xdr:row>
                    <xdr:rowOff>28575</xdr:rowOff>
                  </from>
                  <to>
                    <xdr:col>4</xdr:col>
                    <xdr:colOff>571500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05" r:id="rId112" name="Option Button 1985">
              <controlPr defaultSize="0" autoFill="0" autoLine="0" autoPict="0">
                <anchor moveWithCells="1">
                  <from>
                    <xdr:col>5</xdr:col>
                    <xdr:colOff>504825</xdr:colOff>
                    <xdr:row>44</xdr:row>
                    <xdr:rowOff>19050</xdr:rowOff>
                  </from>
                  <to>
                    <xdr:col>5</xdr:col>
                    <xdr:colOff>666750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06" r:id="rId113" name="Option Button 1986">
              <controlPr defaultSize="0" autoFill="0" autoLine="0" autoPict="0">
                <anchor moveWithCells="1">
                  <from>
                    <xdr:col>6</xdr:col>
                    <xdr:colOff>352425</xdr:colOff>
                    <xdr:row>44</xdr:row>
                    <xdr:rowOff>28575</xdr:rowOff>
                  </from>
                  <to>
                    <xdr:col>6</xdr:col>
                    <xdr:colOff>514350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08" r:id="rId114" name="Group Box 1988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09" r:id="rId115" name="Option Button 1989">
              <controlPr defaultSize="0" autoFill="0" autoLine="0" autoPict="0">
                <anchor moveWithCells="1">
                  <from>
                    <xdr:col>2</xdr:col>
                    <xdr:colOff>304800</xdr:colOff>
                    <xdr:row>10</xdr:row>
                    <xdr:rowOff>0</xdr:rowOff>
                  </from>
                  <to>
                    <xdr:col>2</xdr:col>
                    <xdr:colOff>533400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10" r:id="rId116" name="Option Button 1990">
              <controlPr defaultSize="0" autoFill="0" autoLine="0" autoPict="0">
                <anchor moveWithCells="1">
                  <from>
                    <xdr:col>3</xdr:col>
                    <xdr:colOff>361950</xdr:colOff>
                    <xdr:row>10</xdr:row>
                    <xdr:rowOff>9525</xdr:rowOff>
                  </from>
                  <to>
                    <xdr:col>3</xdr:col>
                    <xdr:colOff>638175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11" r:id="rId117" name="Option Button 1991">
              <controlPr defaultSize="0" autoFill="0" autoLine="0" autoPict="0">
                <anchor moveWithCells="1">
                  <from>
                    <xdr:col>4</xdr:col>
                    <xdr:colOff>381000</xdr:colOff>
                    <xdr:row>10</xdr:row>
                    <xdr:rowOff>0</xdr:rowOff>
                  </from>
                  <to>
                    <xdr:col>4</xdr:col>
                    <xdr:colOff>657225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12" r:id="rId118" name="Option Button 1992">
              <controlPr defaultSize="0" autoFill="0" autoLine="0" autoPict="0">
                <anchor moveWithCells="1">
                  <from>
                    <xdr:col>5</xdr:col>
                    <xdr:colOff>457200</xdr:colOff>
                    <xdr:row>10</xdr:row>
                    <xdr:rowOff>9525</xdr:rowOff>
                  </from>
                  <to>
                    <xdr:col>5</xdr:col>
                    <xdr:colOff>714375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13" r:id="rId119" name="Option Button 1993">
              <controlPr defaultSize="0" autoFill="0" autoLine="0" autoPict="0">
                <anchor moveWithCells="1">
                  <from>
                    <xdr:col>6</xdr:col>
                    <xdr:colOff>333375</xdr:colOff>
                    <xdr:row>10</xdr:row>
                    <xdr:rowOff>9525</xdr:rowOff>
                  </from>
                  <to>
                    <xdr:col>6</xdr:col>
                    <xdr:colOff>628650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26" r:id="rId120" name="Group Box 2006">
              <controlPr defaultSize="0" autoFill="0" autoPict="0">
                <anchor moveWithCells="1">
                  <from>
                    <xdr:col>2</xdr:col>
                    <xdr:colOff>9525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27" r:id="rId121" name="Option Button 2007">
              <controlPr defaultSize="0" autoFill="0" autoLine="0" autoPict="0">
                <anchor moveWithCells="1">
                  <from>
                    <xdr:col>2</xdr:col>
                    <xdr:colOff>304800</xdr:colOff>
                    <xdr:row>15</xdr:row>
                    <xdr:rowOff>0</xdr:rowOff>
                  </from>
                  <to>
                    <xdr:col>2</xdr:col>
                    <xdr:colOff>533400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28" r:id="rId122" name="Option Button 2008">
              <controlPr defaultSize="0" autoFill="0" autoLine="0" autoPict="0">
                <anchor moveWithCells="1">
                  <from>
                    <xdr:col>3</xdr:col>
                    <xdr:colOff>361950</xdr:colOff>
                    <xdr:row>15</xdr:row>
                    <xdr:rowOff>9525</xdr:rowOff>
                  </from>
                  <to>
                    <xdr:col>3</xdr:col>
                    <xdr:colOff>638175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29" r:id="rId123" name="Option Button 2009">
              <controlPr defaultSize="0" autoFill="0" autoLine="0" autoPict="0">
                <anchor moveWithCells="1">
                  <from>
                    <xdr:col>4</xdr:col>
                    <xdr:colOff>390525</xdr:colOff>
                    <xdr:row>15</xdr:row>
                    <xdr:rowOff>0</xdr:rowOff>
                  </from>
                  <to>
                    <xdr:col>4</xdr:col>
                    <xdr:colOff>666750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30" r:id="rId124" name="Option Button 2010">
              <controlPr defaultSize="0" autoFill="0" autoLine="0" autoPict="0">
                <anchor moveWithCells="1">
                  <from>
                    <xdr:col>5</xdr:col>
                    <xdr:colOff>457200</xdr:colOff>
                    <xdr:row>15</xdr:row>
                    <xdr:rowOff>9525</xdr:rowOff>
                  </from>
                  <to>
                    <xdr:col>5</xdr:col>
                    <xdr:colOff>714375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31" r:id="rId125" name="Option Button 2011">
              <controlPr defaultSize="0" autoFill="0" autoLine="0" autoPict="0">
                <anchor moveWithCells="1">
                  <from>
                    <xdr:col>6</xdr:col>
                    <xdr:colOff>333375</xdr:colOff>
                    <xdr:row>15</xdr:row>
                    <xdr:rowOff>9525</xdr:rowOff>
                  </from>
                  <to>
                    <xdr:col>6</xdr:col>
                    <xdr:colOff>628650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38" r:id="rId126" name="Group Box 2018">
              <controlPr defaultSize="0" autoFill="0" autoPict="0">
                <anchor moveWithCells="1">
                  <from>
                    <xdr:col>2</xdr:col>
                    <xdr:colOff>9525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39" r:id="rId127" name="Option Button 2019">
              <controlPr defaultSize="0" autoFill="0" autoLine="0" autoPict="0">
                <anchor moveWithCells="1">
                  <from>
                    <xdr:col>2</xdr:col>
                    <xdr:colOff>304800</xdr:colOff>
                    <xdr:row>24</xdr:row>
                    <xdr:rowOff>95250</xdr:rowOff>
                  </from>
                  <to>
                    <xdr:col>2</xdr:col>
                    <xdr:colOff>533400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40" r:id="rId128" name="Option Button 2020">
              <controlPr defaultSize="0" autoFill="0" autoLine="0" autoPict="0">
                <anchor moveWithCells="1">
                  <from>
                    <xdr:col>3</xdr:col>
                    <xdr:colOff>361950</xdr:colOff>
                    <xdr:row>24</xdr:row>
                    <xdr:rowOff>95250</xdr:rowOff>
                  </from>
                  <to>
                    <xdr:col>3</xdr:col>
                    <xdr:colOff>638175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41" r:id="rId129" name="Option Button 2021">
              <controlPr defaultSize="0" autoFill="0" autoLine="0" autoPict="0">
                <anchor moveWithCells="1">
                  <from>
                    <xdr:col>4</xdr:col>
                    <xdr:colOff>381000</xdr:colOff>
                    <xdr:row>24</xdr:row>
                    <xdr:rowOff>95250</xdr:rowOff>
                  </from>
                  <to>
                    <xdr:col>4</xdr:col>
                    <xdr:colOff>657225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42" r:id="rId130" name="Option Button 2022">
              <controlPr defaultSize="0" autoFill="0" autoLine="0" autoPict="0">
                <anchor moveWithCells="1">
                  <from>
                    <xdr:col>5</xdr:col>
                    <xdr:colOff>466725</xdr:colOff>
                    <xdr:row>24</xdr:row>
                    <xdr:rowOff>95250</xdr:rowOff>
                  </from>
                  <to>
                    <xdr:col>5</xdr:col>
                    <xdr:colOff>723900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43" r:id="rId131" name="Option Button 2023">
              <controlPr defaultSize="0" autoFill="0" autoLine="0" autoPict="0">
                <anchor moveWithCells="1">
                  <from>
                    <xdr:col>6</xdr:col>
                    <xdr:colOff>333375</xdr:colOff>
                    <xdr:row>24</xdr:row>
                    <xdr:rowOff>104775</xdr:rowOff>
                  </from>
                  <to>
                    <xdr:col>6</xdr:col>
                    <xdr:colOff>628650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57" r:id="rId132" name="Group Box 2037">
              <controlPr defaultSize="0" autoFill="0" autoPict="0">
                <anchor moveWithCells="1">
                  <from>
                    <xdr:col>2</xdr:col>
                    <xdr:colOff>9525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58" r:id="rId133" name="Option Button 2038">
              <controlPr defaultSize="0" autoFill="0" autoLine="0" autoPict="0">
                <anchor moveWithCells="1">
                  <from>
                    <xdr:col>2</xdr:col>
                    <xdr:colOff>304800</xdr:colOff>
                    <xdr:row>25</xdr:row>
                    <xdr:rowOff>19050</xdr:rowOff>
                  </from>
                  <to>
                    <xdr:col>2</xdr:col>
                    <xdr:colOff>485775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59" r:id="rId134" name="Option Button 2039">
              <controlPr defaultSize="0" autoFill="0" autoLine="0" autoPict="0">
                <anchor moveWithCells="1">
                  <from>
                    <xdr:col>3</xdr:col>
                    <xdr:colOff>371475</xdr:colOff>
                    <xdr:row>25</xdr:row>
                    <xdr:rowOff>19050</xdr:rowOff>
                  </from>
                  <to>
                    <xdr:col>3</xdr:col>
                    <xdr:colOff>542925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0" r:id="rId135" name="Option Button 2040">
              <controlPr defaultSize="0" autoFill="0" autoLine="0" autoPict="0">
                <anchor moveWithCells="1">
                  <from>
                    <xdr:col>4</xdr:col>
                    <xdr:colOff>390525</xdr:colOff>
                    <xdr:row>25</xdr:row>
                    <xdr:rowOff>28575</xdr:rowOff>
                  </from>
                  <to>
                    <xdr:col>4</xdr:col>
                    <xdr:colOff>571500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1" r:id="rId136" name="Option Button 2041">
              <controlPr defaultSize="0" autoFill="0" autoLine="0" autoPict="0">
                <anchor moveWithCells="1">
                  <from>
                    <xdr:col>5</xdr:col>
                    <xdr:colOff>485775</xdr:colOff>
                    <xdr:row>25</xdr:row>
                    <xdr:rowOff>19050</xdr:rowOff>
                  </from>
                  <to>
                    <xdr:col>5</xdr:col>
                    <xdr:colOff>647700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2" r:id="rId137" name="Option Button 2042">
              <controlPr defaultSize="0" autoFill="0" autoLine="0" autoPict="0">
                <anchor moveWithCells="1">
                  <from>
                    <xdr:col>6</xdr:col>
                    <xdr:colOff>333375</xdr:colOff>
                    <xdr:row>25</xdr:row>
                    <xdr:rowOff>28575</xdr:rowOff>
                  </from>
                  <to>
                    <xdr:col>6</xdr:col>
                    <xdr:colOff>495300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3" r:id="rId138" name="Group Box 2043">
              <controlPr defaultSize="0" autoFill="0" autoPict="0">
                <anchor moveWithCells="1">
                  <from>
                    <xdr:col>2</xdr:col>
                    <xdr:colOff>9525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4" r:id="rId139" name="Option Button 2044">
              <controlPr defaultSize="0" autoFill="0" autoLine="0" autoPict="0">
                <anchor moveWithCells="1">
                  <from>
                    <xdr:col>2</xdr:col>
                    <xdr:colOff>304800</xdr:colOff>
                    <xdr:row>26</xdr:row>
                    <xdr:rowOff>19050</xdr:rowOff>
                  </from>
                  <to>
                    <xdr:col>2</xdr:col>
                    <xdr:colOff>485775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5" r:id="rId140" name="Option Button 2045">
              <controlPr defaultSize="0" autoFill="0" autoLine="0" autoPict="0">
                <anchor moveWithCells="1">
                  <from>
                    <xdr:col>3</xdr:col>
                    <xdr:colOff>371475</xdr:colOff>
                    <xdr:row>26</xdr:row>
                    <xdr:rowOff>19050</xdr:rowOff>
                  </from>
                  <to>
                    <xdr:col>3</xdr:col>
                    <xdr:colOff>542925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6" r:id="rId141" name="Option Button 2046">
              <controlPr defaultSize="0" autoFill="0" autoLine="0" autoPict="0">
                <anchor moveWithCells="1">
                  <from>
                    <xdr:col>4</xdr:col>
                    <xdr:colOff>390525</xdr:colOff>
                    <xdr:row>26</xdr:row>
                    <xdr:rowOff>28575</xdr:rowOff>
                  </from>
                  <to>
                    <xdr:col>4</xdr:col>
                    <xdr:colOff>571500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7" r:id="rId142" name="Option Button 2047">
              <controlPr defaultSize="0" autoFill="0" autoLine="0" autoPict="0">
                <anchor moveWithCells="1">
                  <from>
                    <xdr:col>5</xdr:col>
                    <xdr:colOff>485775</xdr:colOff>
                    <xdr:row>26</xdr:row>
                    <xdr:rowOff>19050</xdr:rowOff>
                  </from>
                  <to>
                    <xdr:col>5</xdr:col>
                    <xdr:colOff>647700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" r:id="rId143" name="Option Button 2048">
              <controlPr defaultSize="0" autoFill="0" autoLine="0" autoPict="0">
                <anchor moveWithCells="1">
                  <from>
                    <xdr:col>6</xdr:col>
                    <xdr:colOff>333375</xdr:colOff>
                    <xdr:row>26</xdr:row>
                    <xdr:rowOff>28575</xdr:rowOff>
                  </from>
                  <to>
                    <xdr:col>6</xdr:col>
                    <xdr:colOff>495300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" r:id="rId144" name="Group Box 2049">
              <controlPr defaultSize="0" autoFill="0" autoPict="0">
                <anchor moveWithCells="1">
                  <from>
                    <xdr:col>2</xdr:col>
                    <xdr:colOff>9525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145" name="Option Button 2050">
              <controlPr defaultSize="0" autoFill="0" autoLine="0" autoPict="0">
                <anchor moveWithCells="1">
                  <from>
                    <xdr:col>2</xdr:col>
                    <xdr:colOff>304800</xdr:colOff>
                    <xdr:row>27</xdr:row>
                    <xdr:rowOff>95250</xdr:rowOff>
                  </from>
                  <to>
                    <xdr:col>2</xdr:col>
                    <xdr:colOff>533400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146" name="Option Button 2051">
              <controlPr defaultSize="0" autoFill="0" autoLine="0" autoPict="0">
                <anchor moveWithCells="1">
                  <from>
                    <xdr:col>3</xdr:col>
                    <xdr:colOff>361950</xdr:colOff>
                    <xdr:row>27</xdr:row>
                    <xdr:rowOff>95250</xdr:rowOff>
                  </from>
                  <to>
                    <xdr:col>3</xdr:col>
                    <xdr:colOff>638175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147" name="Option Button 2052">
              <controlPr defaultSize="0" autoFill="0" autoLine="0" autoPict="0">
                <anchor moveWithCells="1">
                  <from>
                    <xdr:col>4</xdr:col>
                    <xdr:colOff>381000</xdr:colOff>
                    <xdr:row>27</xdr:row>
                    <xdr:rowOff>95250</xdr:rowOff>
                  </from>
                  <to>
                    <xdr:col>4</xdr:col>
                    <xdr:colOff>657225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148" name="Option Button 2053">
              <controlPr defaultSize="0" autoFill="0" autoLine="0" autoPict="0">
                <anchor moveWithCells="1">
                  <from>
                    <xdr:col>5</xdr:col>
                    <xdr:colOff>466725</xdr:colOff>
                    <xdr:row>27</xdr:row>
                    <xdr:rowOff>95250</xdr:rowOff>
                  </from>
                  <to>
                    <xdr:col>5</xdr:col>
                    <xdr:colOff>723900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149" name="Option Button 2054">
              <controlPr defaultSize="0" autoFill="0" autoLine="0" autoPict="0">
                <anchor moveWithCells="1">
                  <from>
                    <xdr:col>6</xdr:col>
                    <xdr:colOff>333375</xdr:colOff>
                    <xdr:row>27</xdr:row>
                    <xdr:rowOff>104775</xdr:rowOff>
                  </from>
                  <to>
                    <xdr:col>6</xdr:col>
                    <xdr:colOff>628650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50" name="Group Box 2055">
              <controlPr defaultSize="0" autoFill="0" autoPict="0">
                <anchor moveWithCells="1">
                  <from>
                    <xdr:col>2</xdr:col>
                    <xdr:colOff>9525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51" name="Option Button 2056">
              <controlPr defaultSize="0" autoFill="0" autoLine="0" autoPict="0">
                <anchor moveWithCells="1">
                  <from>
                    <xdr:col>2</xdr:col>
                    <xdr:colOff>304800</xdr:colOff>
                    <xdr:row>28</xdr:row>
                    <xdr:rowOff>19050</xdr:rowOff>
                  </from>
                  <to>
                    <xdr:col>2</xdr:col>
                    <xdr:colOff>485775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52" name="Option Button 2057">
              <controlPr defaultSize="0" autoFill="0" autoLine="0" autoPict="0">
                <anchor moveWithCells="1">
                  <from>
                    <xdr:col>3</xdr:col>
                    <xdr:colOff>371475</xdr:colOff>
                    <xdr:row>28</xdr:row>
                    <xdr:rowOff>19050</xdr:rowOff>
                  </from>
                  <to>
                    <xdr:col>3</xdr:col>
                    <xdr:colOff>542925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53" name="Option Button 2058">
              <controlPr defaultSize="0" autoFill="0" autoLine="0" autoPict="0">
                <anchor moveWithCells="1">
                  <from>
                    <xdr:col>4</xdr:col>
                    <xdr:colOff>390525</xdr:colOff>
                    <xdr:row>28</xdr:row>
                    <xdr:rowOff>28575</xdr:rowOff>
                  </from>
                  <to>
                    <xdr:col>4</xdr:col>
                    <xdr:colOff>571500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54" name="Option Button 2059">
              <controlPr defaultSize="0" autoFill="0" autoLine="0" autoPict="0">
                <anchor moveWithCells="1">
                  <from>
                    <xdr:col>5</xdr:col>
                    <xdr:colOff>485775</xdr:colOff>
                    <xdr:row>28</xdr:row>
                    <xdr:rowOff>19050</xdr:rowOff>
                  </from>
                  <to>
                    <xdr:col>5</xdr:col>
                    <xdr:colOff>647700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5" name="Option Button 2060">
              <controlPr defaultSize="0" autoFill="0" autoLine="0" autoPict="0">
                <anchor moveWithCells="1">
                  <from>
                    <xdr:col>6</xdr:col>
                    <xdr:colOff>333375</xdr:colOff>
                    <xdr:row>28</xdr:row>
                    <xdr:rowOff>28575</xdr:rowOff>
                  </from>
                  <to>
                    <xdr:col>6</xdr:col>
                    <xdr:colOff>495300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56" name="Group Box 2061">
              <controlPr defaultSize="0" autoFill="0" autoPict="0">
                <anchor moveWithCells="1">
                  <from>
                    <xdr:col>2</xdr:col>
                    <xdr:colOff>9525</xdr:colOff>
                    <xdr:row>29</xdr:row>
                    <xdr:rowOff>0</xdr:rowOff>
                  </from>
                  <to>
                    <xdr:col>7</xdr:col>
                    <xdr:colOff>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57" name="Option Button 2062">
              <controlPr defaultSize="0" autoFill="0" autoLine="0" autoPict="0">
                <anchor moveWithCells="1">
                  <from>
                    <xdr:col>2</xdr:col>
                    <xdr:colOff>304800</xdr:colOff>
                    <xdr:row>29</xdr:row>
                    <xdr:rowOff>19050</xdr:rowOff>
                  </from>
                  <to>
                    <xdr:col>2</xdr:col>
                    <xdr:colOff>485775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58" name="Option Button 2063">
              <controlPr defaultSize="0" autoFill="0" autoLine="0" autoPict="0">
                <anchor moveWithCells="1">
                  <from>
                    <xdr:col>3</xdr:col>
                    <xdr:colOff>371475</xdr:colOff>
                    <xdr:row>29</xdr:row>
                    <xdr:rowOff>19050</xdr:rowOff>
                  </from>
                  <to>
                    <xdr:col>3</xdr:col>
                    <xdr:colOff>542925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59" name="Option Button 2064">
              <controlPr defaultSize="0" autoFill="0" autoLine="0" autoPict="0">
                <anchor moveWithCells="1">
                  <from>
                    <xdr:col>4</xdr:col>
                    <xdr:colOff>390525</xdr:colOff>
                    <xdr:row>29</xdr:row>
                    <xdr:rowOff>28575</xdr:rowOff>
                  </from>
                  <to>
                    <xdr:col>4</xdr:col>
                    <xdr:colOff>571500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60" name="Option Button 2065">
              <controlPr defaultSize="0" autoFill="0" autoLine="0" autoPict="0">
                <anchor moveWithCells="1">
                  <from>
                    <xdr:col>5</xdr:col>
                    <xdr:colOff>485775</xdr:colOff>
                    <xdr:row>29</xdr:row>
                    <xdr:rowOff>19050</xdr:rowOff>
                  </from>
                  <to>
                    <xdr:col>5</xdr:col>
                    <xdr:colOff>647700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61" name="Option Button 2066">
              <controlPr defaultSize="0" autoFill="0" autoLine="0" autoPict="0">
                <anchor moveWithCells="1">
                  <from>
                    <xdr:col>6</xdr:col>
                    <xdr:colOff>333375</xdr:colOff>
                    <xdr:row>29</xdr:row>
                    <xdr:rowOff>28575</xdr:rowOff>
                  </from>
                  <to>
                    <xdr:col>6</xdr:col>
                    <xdr:colOff>495300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62" name="Group Box 2067">
              <controlPr defaultSize="0" autoFill="0" autoPict="0">
                <anchor moveWithCells="1">
                  <from>
                    <xdr:col>2</xdr:col>
                    <xdr:colOff>9525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63" name="Option Button 2068">
              <controlPr defaultSize="0" autoFill="0" autoLine="0" autoPict="0">
                <anchor moveWithCells="1">
                  <from>
                    <xdr:col>2</xdr:col>
                    <xdr:colOff>304800</xdr:colOff>
                    <xdr:row>30</xdr:row>
                    <xdr:rowOff>95250</xdr:rowOff>
                  </from>
                  <to>
                    <xdr:col>2</xdr:col>
                    <xdr:colOff>533400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64" name="Option Button 2069">
              <controlPr defaultSize="0" autoFill="0" autoLine="0" autoPict="0">
                <anchor moveWithCells="1">
                  <from>
                    <xdr:col>3</xdr:col>
                    <xdr:colOff>361950</xdr:colOff>
                    <xdr:row>30</xdr:row>
                    <xdr:rowOff>95250</xdr:rowOff>
                  </from>
                  <to>
                    <xdr:col>3</xdr:col>
                    <xdr:colOff>638175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5" name="Option Button 2070">
              <controlPr defaultSize="0" autoFill="0" autoLine="0" autoPict="0">
                <anchor moveWithCells="1">
                  <from>
                    <xdr:col>4</xdr:col>
                    <xdr:colOff>381000</xdr:colOff>
                    <xdr:row>30</xdr:row>
                    <xdr:rowOff>95250</xdr:rowOff>
                  </from>
                  <to>
                    <xdr:col>4</xdr:col>
                    <xdr:colOff>657225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66" name="Option Button 2071">
              <controlPr defaultSize="0" autoFill="0" autoLine="0" autoPict="0">
                <anchor moveWithCells="1">
                  <from>
                    <xdr:col>5</xdr:col>
                    <xdr:colOff>466725</xdr:colOff>
                    <xdr:row>30</xdr:row>
                    <xdr:rowOff>95250</xdr:rowOff>
                  </from>
                  <to>
                    <xdr:col>5</xdr:col>
                    <xdr:colOff>723900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67" name="Option Button 2072">
              <controlPr defaultSize="0" autoFill="0" autoLine="0" autoPict="0">
                <anchor moveWithCells="1">
                  <from>
                    <xdr:col>6</xdr:col>
                    <xdr:colOff>333375</xdr:colOff>
                    <xdr:row>30</xdr:row>
                    <xdr:rowOff>104775</xdr:rowOff>
                  </from>
                  <to>
                    <xdr:col>6</xdr:col>
                    <xdr:colOff>628650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168" name="Group Box 2073">
              <controlPr defaultSize="0" autoFill="0" autoPict="0">
                <anchor moveWithCells="1">
                  <from>
                    <xdr:col>2</xdr:col>
                    <xdr:colOff>9525</xdr:colOff>
                    <xdr:row>31</xdr:row>
                    <xdr:rowOff>0</xdr:rowOff>
                  </from>
                  <to>
                    <xdr:col>7</xdr:col>
                    <xdr:colOff>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69" name="Option Button 2074">
              <controlPr defaultSize="0" autoFill="0" autoLine="0" autoPict="0">
                <anchor moveWithCells="1">
                  <from>
                    <xdr:col>2</xdr:col>
                    <xdr:colOff>304800</xdr:colOff>
                    <xdr:row>31</xdr:row>
                    <xdr:rowOff>19050</xdr:rowOff>
                  </from>
                  <to>
                    <xdr:col>2</xdr:col>
                    <xdr:colOff>485775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70" name="Option Button 2075">
              <controlPr defaultSize="0" autoFill="0" autoLine="0" autoPict="0">
                <anchor moveWithCells="1">
                  <from>
                    <xdr:col>3</xdr:col>
                    <xdr:colOff>371475</xdr:colOff>
                    <xdr:row>31</xdr:row>
                    <xdr:rowOff>19050</xdr:rowOff>
                  </from>
                  <to>
                    <xdr:col>3</xdr:col>
                    <xdr:colOff>542925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71" name="Option Button 2076">
              <controlPr defaultSize="0" autoFill="0" autoLine="0" autoPict="0">
                <anchor moveWithCells="1">
                  <from>
                    <xdr:col>4</xdr:col>
                    <xdr:colOff>390525</xdr:colOff>
                    <xdr:row>31</xdr:row>
                    <xdr:rowOff>28575</xdr:rowOff>
                  </from>
                  <to>
                    <xdr:col>4</xdr:col>
                    <xdr:colOff>571500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72" name="Option Button 2077">
              <controlPr defaultSize="0" autoFill="0" autoLine="0" autoPict="0">
                <anchor moveWithCells="1">
                  <from>
                    <xdr:col>5</xdr:col>
                    <xdr:colOff>485775</xdr:colOff>
                    <xdr:row>31</xdr:row>
                    <xdr:rowOff>19050</xdr:rowOff>
                  </from>
                  <to>
                    <xdr:col>5</xdr:col>
                    <xdr:colOff>647700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173" name="Option Button 2078">
              <controlPr defaultSize="0" autoFill="0" autoLine="0" autoPict="0">
                <anchor moveWithCells="1">
                  <from>
                    <xdr:col>6</xdr:col>
                    <xdr:colOff>333375</xdr:colOff>
                    <xdr:row>31</xdr:row>
                    <xdr:rowOff>28575</xdr:rowOff>
                  </from>
                  <to>
                    <xdr:col>6</xdr:col>
                    <xdr:colOff>495300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74" name="Group Box 2079">
              <controlPr defaultSize="0" autoFill="0" autoPict="0">
                <anchor moveWithCells="1">
                  <from>
                    <xdr:col>2</xdr:col>
                    <xdr:colOff>9525</xdr:colOff>
                    <xdr:row>32</xdr:row>
                    <xdr:rowOff>0</xdr:rowOff>
                  </from>
                  <to>
                    <xdr:col>7</xdr:col>
                    <xdr:colOff>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75" name="Option Button 2080">
              <controlPr defaultSize="0" autoFill="0" autoLine="0" autoPict="0">
                <anchor moveWithCells="1">
                  <from>
                    <xdr:col>2</xdr:col>
                    <xdr:colOff>304800</xdr:colOff>
                    <xdr:row>32</xdr:row>
                    <xdr:rowOff>19050</xdr:rowOff>
                  </from>
                  <to>
                    <xdr:col>2</xdr:col>
                    <xdr:colOff>485775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176" name="Option Button 2081">
              <controlPr defaultSize="0" autoFill="0" autoLine="0" autoPict="0">
                <anchor moveWithCells="1">
                  <from>
                    <xdr:col>3</xdr:col>
                    <xdr:colOff>371475</xdr:colOff>
                    <xdr:row>32</xdr:row>
                    <xdr:rowOff>19050</xdr:rowOff>
                  </from>
                  <to>
                    <xdr:col>3</xdr:col>
                    <xdr:colOff>542925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177" name="Option Button 2082">
              <controlPr defaultSize="0" autoFill="0" autoLine="0" autoPict="0">
                <anchor moveWithCells="1">
                  <from>
                    <xdr:col>4</xdr:col>
                    <xdr:colOff>390525</xdr:colOff>
                    <xdr:row>32</xdr:row>
                    <xdr:rowOff>28575</xdr:rowOff>
                  </from>
                  <to>
                    <xdr:col>4</xdr:col>
                    <xdr:colOff>571500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178" name="Option Button 2083">
              <controlPr defaultSize="0" autoFill="0" autoLine="0" autoPict="0">
                <anchor moveWithCells="1">
                  <from>
                    <xdr:col>5</xdr:col>
                    <xdr:colOff>485775</xdr:colOff>
                    <xdr:row>32</xdr:row>
                    <xdr:rowOff>19050</xdr:rowOff>
                  </from>
                  <to>
                    <xdr:col>5</xdr:col>
                    <xdr:colOff>647700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179" name="Option Button 2084">
              <controlPr defaultSize="0" autoFill="0" autoLine="0" autoPict="0">
                <anchor moveWithCells="1">
                  <from>
                    <xdr:col>6</xdr:col>
                    <xdr:colOff>333375</xdr:colOff>
                    <xdr:row>32</xdr:row>
                    <xdr:rowOff>28575</xdr:rowOff>
                  </from>
                  <to>
                    <xdr:col>6</xdr:col>
                    <xdr:colOff>495300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180" name="Group Box 2121">
              <controlPr defaultSize="0" autoFill="0" autoPict="0">
                <anchor moveWithCells="1">
                  <from>
                    <xdr:col>2</xdr:col>
                    <xdr:colOff>9525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181" name="Option Button 2122">
              <controlPr defaultSize="0" autoFill="0" autoLine="0" autoPict="0">
                <anchor moveWithCells="1">
                  <from>
                    <xdr:col>2</xdr:col>
                    <xdr:colOff>304800</xdr:colOff>
                    <xdr:row>20</xdr:row>
                    <xdr:rowOff>0</xdr:rowOff>
                  </from>
                  <to>
                    <xdr:col>2</xdr:col>
                    <xdr:colOff>533400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182" name="Option Button 2123">
              <controlPr defaultSize="0" autoFill="0" autoLine="0" autoPict="0">
                <anchor moveWithCells="1">
                  <from>
                    <xdr:col>3</xdr:col>
                    <xdr:colOff>361950</xdr:colOff>
                    <xdr:row>20</xdr:row>
                    <xdr:rowOff>9525</xdr:rowOff>
                  </from>
                  <to>
                    <xdr:col>3</xdr:col>
                    <xdr:colOff>638175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183" name="Option Button 2124">
              <controlPr defaultSize="0" autoFill="0" autoLine="0" autoPict="0">
                <anchor moveWithCells="1">
                  <from>
                    <xdr:col>4</xdr:col>
                    <xdr:colOff>381000</xdr:colOff>
                    <xdr:row>20</xdr:row>
                    <xdr:rowOff>0</xdr:rowOff>
                  </from>
                  <to>
                    <xdr:col>4</xdr:col>
                    <xdr:colOff>657225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184" name="Option Button 2125">
              <controlPr defaultSize="0" autoFill="0" autoLine="0" autoPict="0">
                <anchor moveWithCells="1">
                  <from>
                    <xdr:col>5</xdr:col>
                    <xdr:colOff>457200</xdr:colOff>
                    <xdr:row>20</xdr:row>
                    <xdr:rowOff>9525</xdr:rowOff>
                  </from>
                  <to>
                    <xdr:col>5</xdr:col>
                    <xdr:colOff>714375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185" name="Option Button 2126">
              <controlPr defaultSize="0" autoFill="0" autoLine="0" autoPict="0">
                <anchor moveWithCells="1">
                  <from>
                    <xdr:col>6</xdr:col>
                    <xdr:colOff>333375</xdr:colOff>
                    <xdr:row>20</xdr:row>
                    <xdr:rowOff>9525</xdr:rowOff>
                  </from>
                  <to>
                    <xdr:col>6</xdr:col>
                    <xdr:colOff>628650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186" name="Group Box 2127">
              <controlPr defaultSize="0" autoFill="0" autoPict="0">
                <anchor moveWithCells="1">
                  <from>
                    <xdr:col>2</xdr:col>
                    <xdr:colOff>9525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187" name="Option Button 2128">
              <controlPr defaultSize="0" autoFill="0" autoLine="0" autoPict="0">
                <anchor moveWithCells="1">
                  <from>
                    <xdr:col>2</xdr:col>
                    <xdr:colOff>304800</xdr:colOff>
                    <xdr:row>19</xdr:row>
                    <xdr:rowOff>0</xdr:rowOff>
                  </from>
                  <to>
                    <xdr:col>2</xdr:col>
                    <xdr:colOff>533400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188" name="Option Button 2129">
              <controlPr defaultSize="0" autoFill="0" autoLine="0" autoPict="0">
                <anchor moveWithCells="1">
                  <from>
                    <xdr:col>3</xdr:col>
                    <xdr:colOff>361950</xdr:colOff>
                    <xdr:row>19</xdr:row>
                    <xdr:rowOff>9525</xdr:rowOff>
                  </from>
                  <to>
                    <xdr:col>3</xdr:col>
                    <xdr:colOff>638175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189" name="Option Button 2130">
              <controlPr defaultSize="0" autoFill="0" autoLine="0" autoPict="0">
                <anchor moveWithCells="1">
                  <from>
                    <xdr:col>4</xdr:col>
                    <xdr:colOff>381000</xdr:colOff>
                    <xdr:row>19</xdr:row>
                    <xdr:rowOff>0</xdr:rowOff>
                  </from>
                  <to>
                    <xdr:col>4</xdr:col>
                    <xdr:colOff>657225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190" name="Option Button 2131">
              <controlPr defaultSize="0" autoFill="0" autoLine="0" autoPict="0">
                <anchor moveWithCells="1">
                  <from>
                    <xdr:col>5</xdr:col>
                    <xdr:colOff>457200</xdr:colOff>
                    <xdr:row>19</xdr:row>
                    <xdr:rowOff>9525</xdr:rowOff>
                  </from>
                  <to>
                    <xdr:col>5</xdr:col>
                    <xdr:colOff>714375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2" r:id="rId191" name="Option Button 2132">
              <controlPr defaultSize="0" autoFill="0" autoLine="0" autoPict="0">
                <anchor moveWithCells="1">
                  <from>
                    <xdr:col>6</xdr:col>
                    <xdr:colOff>333375</xdr:colOff>
                    <xdr:row>19</xdr:row>
                    <xdr:rowOff>9525</xdr:rowOff>
                  </from>
                  <to>
                    <xdr:col>6</xdr:col>
                    <xdr:colOff>628650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192" name="Group Box 2133">
              <controlPr defaultSize="0" autoFill="0" autoPict="0">
                <anchor moveWithCells="1">
                  <from>
                    <xdr:col>2</xdr:col>
                    <xdr:colOff>9525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193" name="Option Button 2134">
              <controlPr defaultSize="0" autoFill="0" autoLine="0" autoPict="0">
                <anchor moveWithCells="1">
                  <from>
                    <xdr:col>2</xdr:col>
                    <xdr:colOff>304800</xdr:colOff>
                    <xdr:row>18</xdr:row>
                    <xdr:rowOff>0</xdr:rowOff>
                  </from>
                  <to>
                    <xdr:col>2</xdr:col>
                    <xdr:colOff>533400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194" name="Option Button 2135">
              <controlPr defaultSize="0" autoFill="0" autoLine="0" autoPict="0">
                <anchor moveWithCells="1">
                  <from>
                    <xdr:col>3</xdr:col>
                    <xdr:colOff>361950</xdr:colOff>
                    <xdr:row>18</xdr:row>
                    <xdr:rowOff>9525</xdr:rowOff>
                  </from>
                  <to>
                    <xdr:col>3</xdr:col>
                    <xdr:colOff>638175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195" name="Option Button 2136">
              <controlPr defaultSize="0" autoFill="0" autoLine="0" autoPict="0">
                <anchor moveWithCells="1">
                  <from>
                    <xdr:col>4</xdr:col>
                    <xdr:colOff>381000</xdr:colOff>
                    <xdr:row>18</xdr:row>
                    <xdr:rowOff>0</xdr:rowOff>
                  </from>
                  <to>
                    <xdr:col>4</xdr:col>
                    <xdr:colOff>657225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7" r:id="rId196" name="Option Button 2137">
              <controlPr defaultSize="0" autoFill="0" autoLine="0" autoPict="0">
                <anchor moveWithCells="1">
                  <from>
                    <xdr:col>5</xdr:col>
                    <xdr:colOff>457200</xdr:colOff>
                    <xdr:row>18</xdr:row>
                    <xdr:rowOff>9525</xdr:rowOff>
                  </from>
                  <to>
                    <xdr:col>5</xdr:col>
                    <xdr:colOff>714375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197" name="Option Button 2138">
              <controlPr defaultSize="0" autoFill="0" autoLine="0" autoPict="0">
                <anchor moveWithCells="1">
                  <from>
                    <xdr:col>6</xdr:col>
                    <xdr:colOff>333375</xdr:colOff>
                    <xdr:row>18</xdr:row>
                    <xdr:rowOff>9525</xdr:rowOff>
                  </from>
                  <to>
                    <xdr:col>6</xdr:col>
                    <xdr:colOff>628650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AB31"/>
  <sheetViews>
    <sheetView showGridLines="0" workbookViewId="0">
      <selection activeCell="B19" sqref="B19"/>
    </sheetView>
  </sheetViews>
  <sheetFormatPr defaultRowHeight="15" x14ac:dyDescent="0.25"/>
  <cols>
    <col min="1" max="1" width="6.85546875" style="20" customWidth="1"/>
    <col min="2" max="2" width="18" style="20" customWidth="1"/>
    <col min="3" max="3" width="87.5703125" customWidth="1"/>
    <col min="4" max="6" width="17.5703125" customWidth="1"/>
    <col min="7" max="7" width="11.5703125" style="88" customWidth="1"/>
    <col min="8" max="10" width="9.140625" style="13"/>
    <col min="11" max="11" width="12.85546875" style="13" bestFit="1" customWidth="1"/>
    <col min="12" max="16" width="9.140625" style="13"/>
    <col min="17" max="17" width="9.140625" style="88"/>
    <col min="18" max="18" width="9.140625" style="13"/>
    <col min="19" max="23" width="9.140625" style="72"/>
    <col min="24" max="28" width="9.140625" style="20"/>
  </cols>
  <sheetData>
    <row r="1" spans="2:21" x14ac:dyDescent="0.25">
      <c r="S1" s="73"/>
      <c r="T1" s="73"/>
      <c r="U1" s="73"/>
    </row>
    <row r="2" spans="2:21" x14ac:dyDescent="0.25">
      <c r="S2" s="73"/>
      <c r="T2" s="73"/>
      <c r="U2" s="73"/>
    </row>
    <row r="3" spans="2:21" ht="29.25" customHeight="1" x14ac:dyDescent="0.25">
      <c r="B3" s="118" t="s">
        <v>128</v>
      </c>
      <c r="C3" s="118" t="s">
        <v>73</v>
      </c>
      <c r="D3" s="121" t="s">
        <v>164</v>
      </c>
      <c r="E3" s="122"/>
      <c r="F3" s="123"/>
      <c r="S3" s="73"/>
      <c r="T3" s="73"/>
      <c r="U3" s="73"/>
    </row>
    <row r="4" spans="2:21" ht="45" x14ac:dyDescent="0.25">
      <c r="B4" s="118"/>
      <c r="C4" s="118"/>
      <c r="D4" s="66" t="s">
        <v>163</v>
      </c>
      <c r="E4" s="66" t="s">
        <v>180</v>
      </c>
      <c r="F4" s="66" t="s">
        <v>162</v>
      </c>
      <c r="S4" s="73"/>
      <c r="T4" s="73"/>
      <c r="U4" s="73"/>
    </row>
    <row r="5" spans="2:21" ht="15" customHeight="1" x14ac:dyDescent="0.25">
      <c r="B5" s="70" t="s">
        <v>46</v>
      </c>
      <c r="C5" s="64" t="s">
        <v>165</v>
      </c>
      <c r="D5" s="67"/>
      <c r="E5" s="68"/>
      <c r="F5" s="68"/>
      <c r="G5" s="90"/>
      <c r="H5" s="95">
        <v>1</v>
      </c>
      <c r="I5" s="13">
        <f>VLOOKUP(H5,J:L,3,FALSE)</f>
        <v>1.4499995000000001</v>
      </c>
      <c r="J5" s="13">
        <v>1</v>
      </c>
      <c r="K5" s="13" t="s">
        <v>183</v>
      </c>
      <c r="L5" s="96">
        <f>AVERAGE(1,1.899999)</f>
        <v>1.4499995000000001</v>
      </c>
      <c r="M5" s="97"/>
      <c r="N5" s="98"/>
      <c r="S5" s="73"/>
      <c r="T5" s="73"/>
      <c r="U5" s="73"/>
    </row>
    <row r="6" spans="2:21" x14ac:dyDescent="0.25">
      <c r="B6" s="70" t="s">
        <v>46</v>
      </c>
      <c r="C6" s="64" t="s">
        <v>166</v>
      </c>
      <c r="D6" s="67"/>
      <c r="E6" s="68"/>
      <c r="F6" s="68"/>
      <c r="G6" s="90"/>
      <c r="H6" s="95">
        <v>1</v>
      </c>
      <c r="I6" s="13">
        <f t="shared" ref="I6:I19" si="0">VLOOKUP(H6,J:L,3,FALSE)</f>
        <v>1.4499995000000001</v>
      </c>
      <c r="J6" s="13">
        <v>2</v>
      </c>
      <c r="K6" s="13" t="s">
        <v>181</v>
      </c>
      <c r="L6" s="96">
        <f>AVERAGE(1.9,2.499999)</f>
        <v>2.1999994999999997</v>
      </c>
      <c r="M6" s="97"/>
      <c r="N6" s="98"/>
      <c r="S6" s="73"/>
      <c r="T6" s="73"/>
      <c r="U6" s="73"/>
    </row>
    <row r="7" spans="2:21" x14ac:dyDescent="0.25">
      <c r="B7" s="70" t="s">
        <v>46</v>
      </c>
      <c r="C7" s="64" t="s">
        <v>167</v>
      </c>
      <c r="D7" s="67"/>
      <c r="E7" s="68"/>
      <c r="F7" s="68"/>
      <c r="G7" s="90"/>
      <c r="H7" s="95">
        <v>1</v>
      </c>
      <c r="I7" s="13">
        <f t="shared" si="0"/>
        <v>1.4499995000000001</v>
      </c>
      <c r="J7" s="13">
        <v>3</v>
      </c>
      <c r="K7" s="13" t="s">
        <v>182</v>
      </c>
      <c r="L7" s="96">
        <f>AVERAGE(2.5,3)</f>
        <v>2.75</v>
      </c>
      <c r="M7" s="97"/>
      <c r="N7" s="98"/>
      <c r="S7" s="73"/>
      <c r="T7" s="73"/>
      <c r="U7" s="73"/>
    </row>
    <row r="8" spans="2:21" x14ac:dyDescent="0.25">
      <c r="B8" s="71" t="s">
        <v>47</v>
      </c>
      <c r="C8" s="64" t="s">
        <v>168</v>
      </c>
      <c r="D8" s="67"/>
      <c r="E8" s="68"/>
      <c r="F8" s="68"/>
      <c r="G8" s="90"/>
      <c r="H8" s="95">
        <v>1</v>
      </c>
      <c r="I8" s="13">
        <f t="shared" si="0"/>
        <v>1.4499995000000001</v>
      </c>
      <c r="M8" s="99"/>
      <c r="S8" s="73"/>
      <c r="T8" s="73"/>
      <c r="U8" s="73"/>
    </row>
    <row r="9" spans="2:21" x14ac:dyDescent="0.25">
      <c r="B9" s="71" t="s">
        <v>47</v>
      </c>
      <c r="C9" s="65" t="s">
        <v>169</v>
      </c>
      <c r="D9" s="67"/>
      <c r="E9" s="68"/>
      <c r="F9" s="68"/>
      <c r="G9" s="90"/>
      <c r="H9" s="95">
        <v>1</v>
      </c>
      <c r="I9" s="13">
        <f t="shared" si="0"/>
        <v>1.4499995000000001</v>
      </c>
      <c r="J9" s="100">
        <v>1</v>
      </c>
      <c r="K9" s="100">
        <v>1.8999999000000001</v>
      </c>
      <c r="L9" s="31" t="s">
        <v>163</v>
      </c>
      <c r="N9" s="98"/>
      <c r="P9" s="101"/>
      <c r="S9" s="73"/>
      <c r="T9" s="73"/>
      <c r="U9" s="73"/>
    </row>
    <row r="10" spans="2:21" x14ac:dyDescent="0.25">
      <c r="B10" s="71" t="s">
        <v>47</v>
      </c>
      <c r="C10" s="64" t="s">
        <v>170</v>
      </c>
      <c r="D10" s="67"/>
      <c r="E10" s="68"/>
      <c r="F10" s="68"/>
      <c r="G10" s="90"/>
      <c r="H10" s="95">
        <v>1</v>
      </c>
      <c r="I10" s="13">
        <f t="shared" si="0"/>
        <v>1.4499995000000001</v>
      </c>
      <c r="J10" s="100">
        <v>1.9</v>
      </c>
      <c r="K10" s="100">
        <v>2.4999999000000002</v>
      </c>
      <c r="L10" s="13" t="s">
        <v>180</v>
      </c>
      <c r="N10" s="98"/>
      <c r="P10" s="101"/>
      <c r="S10" s="73"/>
      <c r="T10" s="73"/>
      <c r="U10" s="73"/>
    </row>
    <row r="11" spans="2:21" x14ac:dyDescent="0.25">
      <c r="B11" s="70" t="s">
        <v>67</v>
      </c>
      <c r="C11" s="64" t="s">
        <v>171</v>
      </c>
      <c r="D11" s="67"/>
      <c r="E11" s="68"/>
      <c r="F11" s="68"/>
      <c r="G11" s="90"/>
      <c r="H11" s="95">
        <v>1</v>
      </c>
      <c r="I11" s="13">
        <f t="shared" si="0"/>
        <v>1.4499995000000001</v>
      </c>
      <c r="J11" s="100">
        <v>2.5</v>
      </c>
      <c r="K11" s="100">
        <v>3</v>
      </c>
      <c r="L11" s="13" t="s">
        <v>162</v>
      </c>
      <c r="N11" s="98"/>
      <c r="P11" s="101"/>
      <c r="S11" s="73"/>
      <c r="T11" s="73"/>
      <c r="U11" s="73"/>
    </row>
    <row r="12" spans="2:21" x14ac:dyDescent="0.25">
      <c r="B12" s="70" t="s">
        <v>67</v>
      </c>
      <c r="C12" s="65" t="s">
        <v>172</v>
      </c>
      <c r="D12" s="67"/>
      <c r="E12" s="68"/>
      <c r="F12" s="68"/>
      <c r="G12" s="90"/>
      <c r="H12" s="95">
        <v>1</v>
      </c>
      <c r="I12" s="13">
        <f t="shared" si="0"/>
        <v>1.4499995000000001</v>
      </c>
      <c r="S12" s="73"/>
      <c r="T12" s="73"/>
      <c r="U12" s="73"/>
    </row>
    <row r="13" spans="2:21" ht="15.75" customHeight="1" x14ac:dyDescent="0.25">
      <c r="B13" s="70" t="s">
        <v>67</v>
      </c>
      <c r="C13" s="64" t="s">
        <v>173</v>
      </c>
      <c r="D13" s="67"/>
      <c r="E13" s="68"/>
      <c r="F13" s="68"/>
      <c r="G13" s="90"/>
      <c r="H13" s="95">
        <v>1</v>
      </c>
      <c r="I13" s="13">
        <f t="shared" si="0"/>
        <v>1.4499995000000001</v>
      </c>
      <c r="O13" s="102"/>
      <c r="S13" s="73"/>
      <c r="T13" s="73"/>
      <c r="U13" s="73"/>
    </row>
    <row r="14" spans="2:21" x14ac:dyDescent="0.25">
      <c r="B14" s="70" t="s">
        <v>66</v>
      </c>
      <c r="C14" s="64" t="s">
        <v>174</v>
      </c>
      <c r="D14" s="67"/>
      <c r="E14" s="68"/>
      <c r="F14" s="68"/>
      <c r="G14" s="90"/>
      <c r="H14" s="95">
        <v>1</v>
      </c>
      <c r="I14" s="13">
        <f t="shared" si="0"/>
        <v>1.4499995000000001</v>
      </c>
      <c r="O14" s="102"/>
      <c r="S14" s="73"/>
      <c r="T14" s="73"/>
      <c r="U14" s="73"/>
    </row>
    <row r="15" spans="2:21" x14ac:dyDescent="0.25">
      <c r="B15" s="70" t="s">
        <v>66</v>
      </c>
      <c r="C15" s="64" t="s">
        <v>175</v>
      </c>
      <c r="D15" s="67"/>
      <c r="E15" s="68"/>
      <c r="F15" s="68"/>
      <c r="G15" s="90"/>
      <c r="H15" s="95">
        <v>1</v>
      </c>
      <c r="I15" s="13">
        <f t="shared" si="0"/>
        <v>1.4499995000000001</v>
      </c>
      <c r="S15" s="73"/>
      <c r="T15" s="73"/>
      <c r="U15" s="73"/>
    </row>
    <row r="16" spans="2:21" x14ac:dyDescent="0.25">
      <c r="B16" s="70" t="s">
        <v>66</v>
      </c>
      <c r="C16" s="64" t="s">
        <v>176</v>
      </c>
      <c r="D16" s="67"/>
      <c r="E16" s="68"/>
      <c r="F16" s="68"/>
      <c r="G16" s="90"/>
      <c r="H16" s="95">
        <v>1</v>
      </c>
      <c r="I16" s="13">
        <f t="shared" si="0"/>
        <v>1.4499995000000001</v>
      </c>
      <c r="S16" s="73"/>
      <c r="T16" s="73"/>
      <c r="U16" s="73"/>
    </row>
    <row r="17" spans="2:22" x14ac:dyDescent="0.25">
      <c r="B17" s="71" t="s">
        <v>48</v>
      </c>
      <c r="C17" s="64" t="s">
        <v>177</v>
      </c>
      <c r="D17" s="67"/>
      <c r="E17" s="68"/>
      <c r="F17" s="68"/>
      <c r="G17" s="90"/>
      <c r="H17" s="95">
        <v>1</v>
      </c>
      <c r="I17" s="13">
        <f t="shared" si="0"/>
        <v>1.4499995000000001</v>
      </c>
    </row>
    <row r="18" spans="2:22" x14ac:dyDescent="0.25">
      <c r="B18" s="71" t="s">
        <v>48</v>
      </c>
      <c r="C18" s="64" t="s">
        <v>178</v>
      </c>
      <c r="D18" s="67"/>
      <c r="E18" s="68"/>
      <c r="F18" s="68"/>
      <c r="H18" s="95">
        <v>1</v>
      </c>
      <c r="I18" s="13">
        <f t="shared" si="0"/>
        <v>1.4499995000000001</v>
      </c>
    </row>
    <row r="19" spans="2:22" x14ac:dyDescent="0.25">
      <c r="B19" s="71" t="s">
        <v>48</v>
      </c>
      <c r="C19" s="64" t="s">
        <v>179</v>
      </c>
      <c r="D19" s="67"/>
      <c r="E19" s="68"/>
      <c r="F19" s="68"/>
      <c r="H19" s="95">
        <v>1</v>
      </c>
      <c r="I19" s="13">
        <f t="shared" si="0"/>
        <v>1.4499995000000001</v>
      </c>
      <c r="T19" s="80"/>
      <c r="V19" s="79"/>
    </row>
    <row r="20" spans="2:22" ht="15.75" customHeight="1" x14ac:dyDescent="0.25">
      <c r="C20" s="29"/>
      <c r="D20" s="7"/>
      <c r="E20" s="8"/>
      <c r="F20" s="8"/>
      <c r="H20" s="103"/>
      <c r="I20" s="13">
        <f>AVERAGE(I5:I19)</f>
        <v>1.4499995000000003</v>
      </c>
      <c r="V20" s="79"/>
    </row>
    <row r="21" spans="2:22" ht="5.25" customHeight="1" x14ac:dyDescent="0.25">
      <c r="V21" s="79"/>
    </row>
    <row r="22" spans="2:22" x14ac:dyDescent="0.25">
      <c r="C22" s="10" t="s">
        <v>50</v>
      </c>
      <c r="D22" s="10" t="s">
        <v>41</v>
      </c>
    </row>
    <row r="23" spans="2:22" x14ac:dyDescent="0.25">
      <c r="C23" s="9" t="s">
        <v>184</v>
      </c>
      <c r="D23" s="69" t="str">
        <f>IF(I20&lt;=K9,"X","")</f>
        <v>X</v>
      </c>
    </row>
    <row r="24" spans="2:22" x14ac:dyDescent="0.25">
      <c r="C24" s="9" t="s">
        <v>185</v>
      </c>
      <c r="D24" s="69" t="str">
        <f>IF(AND(I20&gt;=J10,I20&lt;=K10),"X","")</f>
        <v/>
      </c>
    </row>
    <row r="25" spans="2:22" x14ac:dyDescent="0.25">
      <c r="C25" s="9" t="s">
        <v>186</v>
      </c>
      <c r="D25" s="69" t="str">
        <f>IF(AND(I20&gt;=J11,I20&lt;=K11),"X","")</f>
        <v/>
      </c>
    </row>
    <row r="26" spans="2:22" ht="6" customHeight="1" x14ac:dyDescent="0.25"/>
    <row r="27" spans="2:22" ht="6" customHeight="1" x14ac:dyDescent="0.25"/>
    <row r="28" spans="2:22" x14ac:dyDescent="0.25">
      <c r="D28" s="121" t="s">
        <v>187</v>
      </c>
      <c r="E28" s="122"/>
      <c r="F28" s="123"/>
    </row>
    <row r="29" spans="2:22" x14ac:dyDescent="0.25">
      <c r="D29" s="74">
        <f>SUM(I5:I7)</f>
        <v>4.3499984999999999</v>
      </c>
      <c r="E29" s="75"/>
      <c r="F29" s="74">
        <f>SUM(I8:I10)</f>
        <v>4.3499984999999999</v>
      </c>
    </row>
    <row r="30" spans="2:22" x14ac:dyDescent="0.25">
      <c r="D30" s="76"/>
      <c r="E30" s="74">
        <f>SUM(I11:I13)</f>
        <v>4.3499984999999999</v>
      </c>
      <c r="F30" s="77"/>
    </row>
    <row r="31" spans="2:22" x14ac:dyDescent="0.25">
      <c r="D31" s="74">
        <f>SUM(I14:I16)</f>
        <v>4.3499984999999999</v>
      </c>
      <c r="E31" s="78"/>
      <c r="F31" s="74">
        <f>SUM(I17:I19)</f>
        <v>4.3499984999999999</v>
      </c>
    </row>
  </sheetData>
  <mergeCells count="4">
    <mergeCell ref="D3:F3"/>
    <mergeCell ref="C3:C4"/>
    <mergeCell ref="B3:B4"/>
    <mergeCell ref="D28:F28"/>
  </mergeCells>
  <conditionalFormatting sqref="D29">
    <cfRule type="cellIs" dxfId="4" priority="11" operator="lessThan">
      <formula>5.1</formula>
    </cfRule>
  </conditionalFormatting>
  <conditionalFormatting sqref="F29">
    <cfRule type="cellIs" dxfId="3" priority="5" operator="lessThan">
      <formula>5.1</formula>
    </cfRule>
  </conditionalFormatting>
  <conditionalFormatting sqref="D31">
    <cfRule type="cellIs" dxfId="2" priority="3" operator="lessThan">
      <formula>5.1</formula>
    </cfRule>
  </conditionalFormatting>
  <conditionalFormatting sqref="F31">
    <cfRule type="cellIs" dxfId="1" priority="2" operator="lessThan">
      <formula>5.1</formula>
    </cfRule>
  </conditionalFormatting>
  <conditionalFormatting sqref="E30">
    <cfRule type="cellIs" dxfId="0" priority="1" operator="lessThan">
      <formula>5.1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7" r:id="rId4" name="Group Box 81">
              <controlPr defaultSize="0" autoFill="0" autoPict="0" altText="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5" name="Option Button 82">
              <controlPr defaultSize="0" autoFill="0" autoLine="0" autoPict="0">
                <anchor moveWithCells="1">
                  <from>
                    <xdr:col>3</xdr:col>
                    <xdr:colOff>495300</xdr:colOff>
                    <xdr:row>7</xdr:row>
                    <xdr:rowOff>47625</xdr:rowOff>
                  </from>
                  <to>
                    <xdr:col>3</xdr:col>
                    <xdr:colOff>723900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6" name="Option Button 83">
              <controlPr defaultSize="0" autoFill="0" autoLine="0" autoPict="0">
                <anchor moveWithCells="1">
                  <from>
                    <xdr:col>4</xdr:col>
                    <xdr:colOff>495300</xdr:colOff>
                    <xdr:row>7</xdr:row>
                    <xdr:rowOff>47625</xdr:rowOff>
                  </from>
                  <to>
                    <xdr:col>4</xdr:col>
                    <xdr:colOff>723900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7" name="Option Button 84">
              <controlPr defaultSize="0" autoFill="0" autoLine="0" autoPict="0">
                <anchor moveWithCells="1">
                  <from>
                    <xdr:col>5</xdr:col>
                    <xdr:colOff>514350</xdr:colOff>
                    <xdr:row>7</xdr:row>
                    <xdr:rowOff>57150</xdr:rowOff>
                  </from>
                  <to>
                    <xdr:col>5</xdr:col>
                    <xdr:colOff>742950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8" name="Group Box 101">
              <controlPr defaultSize="0" autoFill="0" autoPict="0" altText="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9" name="Option Button 102">
              <controlPr defaultSize="0" autoFill="0" autoLine="0" autoPict="0">
                <anchor moveWithCells="1">
                  <from>
                    <xdr:col>3</xdr:col>
                    <xdr:colOff>495300</xdr:colOff>
                    <xdr:row>8</xdr:row>
                    <xdr:rowOff>47625</xdr:rowOff>
                  </from>
                  <to>
                    <xdr:col>3</xdr:col>
                    <xdr:colOff>723900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" name="Option Button 103">
              <controlPr defaultSize="0" autoFill="0" autoLine="0" autoPict="0">
                <anchor moveWithCells="1">
                  <from>
                    <xdr:col>4</xdr:col>
                    <xdr:colOff>495300</xdr:colOff>
                    <xdr:row>8</xdr:row>
                    <xdr:rowOff>47625</xdr:rowOff>
                  </from>
                  <to>
                    <xdr:col>4</xdr:col>
                    <xdr:colOff>723900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1" name="Option Button 104">
              <controlPr defaultSize="0" autoFill="0" autoLine="0" autoPict="0">
                <anchor moveWithCells="1">
                  <from>
                    <xdr:col>5</xdr:col>
                    <xdr:colOff>514350</xdr:colOff>
                    <xdr:row>8</xdr:row>
                    <xdr:rowOff>57150</xdr:rowOff>
                  </from>
                  <to>
                    <xdr:col>5</xdr:col>
                    <xdr:colOff>742950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2" name="Group Box 106">
              <controlPr defaultSize="0" autoFill="0" autoPict="0" altText="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3" name="Option Button 107">
              <controlPr defaultSize="0" autoFill="0" autoLine="0" autoPict="0">
                <anchor moveWithCells="1">
                  <from>
                    <xdr:col>3</xdr:col>
                    <xdr:colOff>485775</xdr:colOff>
                    <xdr:row>9</xdr:row>
                    <xdr:rowOff>47625</xdr:rowOff>
                  </from>
                  <to>
                    <xdr:col>3</xdr:col>
                    <xdr:colOff>714375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4" name="Option Button 108">
              <controlPr defaultSize="0" autoFill="0" autoLine="0" autoPict="0">
                <anchor moveWithCells="1">
                  <from>
                    <xdr:col>4</xdr:col>
                    <xdr:colOff>495300</xdr:colOff>
                    <xdr:row>9</xdr:row>
                    <xdr:rowOff>47625</xdr:rowOff>
                  </from>
                  <to>
                    <xdr:col>4</xdr:col>
                    <xdr:colOff>723900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5" name="Option Button 109">
              <controlPr defaultSize="0" autoFill="0" autoLine="0" autoPict="0">
                <anchor moveWithCells="1">
                  <from>
                    <xdr:col>5</xdr:col>
                    <xdr:colOff>514350</xdr:colOff>
                    <xdr:row>9</xdr:row>
                    <xdr:rowOff>57150</xdr:rowOff>
                  </from>
                  <to>
                    <xdr:col>5</xdr:col>
                    <xdr:colOff>742950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6" name="Group Box 111">
              <controlPr defaultSize="0" autoFill="0" autoPict="0" altText="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7" name="Option Button 112">
              <controlPr defaultSize="0" autoFill="0" autoLine="0" autoPict="0">
                <anchor moveWithCells="1">
                  <from>
                    <xdr:col>3</xdr:col>
                    <xdr:colOff>485775</xdr:colOff>
                    <xdr:row>10</xdr:row>
                    <xdr:rowOff>47625</xdr:rowOff>
                  </from>
                  <to>
                    <xdr:col>3</xdr:col>
                    <xdr:colOff>714375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8" name="Option Button 113">
              <controlPr defaultSize="0" autoFill="0" autoLine="0" autoPict="0">
                <anchor moveWithCells="1">
                  <from>
                    <xdr:col>4</xdr:col>
                    <xdr:colOff>495300</xdr:colOff>
                    <xdr:row>10</xdr:row>
                    <xdr:rowOff>47625</xdr:rowOff>
                  </from>
                  <to>
                    <xdr:col>4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9" name="Option Button 114">
              <controlPr defaultSize="0" autoFill="0" autoLine="0" autoPict="0">
                <anchor moveWithCells="1">
                  <from>
                    <xdr:col>5</xdr:col>
                    <xdr:colOff>514350</xdr:colOff>
                    <xdr:row>10</xdr:row>
                    <xdr:rowOff>57150</xdr:rowOff>
                  </from>
                  <to>
                    <xdr:col>5</xdr:col>
                    <xdr:colOff>742950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20" name="Group Box 116">
              <controlPr defaultSize="0" autoFill="0" autoPict="0" altText="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21" name="Option Button 117">
              <controlPr defaultSize="0" autoFill="0" autoLine="0" autoPict="0">
                <anchor moveWithCells="1">
                  <from>
                    <xdr:col>3</xdr:col>
                    <xdr:colOff>485775</xdr:colOff>
                    <xdr:row>11</xdr:row>
                    <xdr:rowOff>47625</xdr:rowOff>
                  </from>
                  <to>
                    <xdr:col>3</xdr:col>
                    <xdr:colOff>714375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22" name="Option Button 118">
              <controlPr defaultSize="0" autoFill="0" autoLine="0" autoPict="0">
                <anchor moveWithCells="1">
                  <from>
                    <xdr:col>4</xdr:col>
                    <xdr:colOff>495300</xdr:colOff>
                    <xdr:row>11</xdr:row>
                    <xdr:rowOff>47625</xdr:rowOff>
                  </from>
                  <to>
                    <xdr:col>4</xdr:col>
                    <xdr:colOff>723900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23" name="Option Button 119">
              <controlPr defaultSize="0" autoFill="0" autoLine="0" autoPict="0">
                <anchor moveWithCells="1">
                  <from>
                    <xdr:col>5</xdr:col>
                    <xdr:colOff>514350</xdr:colOff>
                    <xdr:row>11</xdr:row>
                    <xdr:rowOff>57150</xdr:rowOff>
                  </from>
                  <to>
                    <xdr:col>5</xdr:col>
                    <xdr:colOff>742950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24" name="Group Box 136">
              <controlPr defaultSize="0" autoFill="0" autoPict="0" altText="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25" name="Option Button 137">
              <controlPr defaultSize="0" autoFill="0" autoLine="0" autoPict="0">
                <anchor moveWithCells="1">
                  <from>
                    <xdr:col>3</xdr:col>
                    <xdr:colOff>485775</xdr:colOff>
                    <xdr:row>15</xdr:row>
                    <xdr:rowOff>47625</xdr:rowOff>
                  </from>
                  <to>
                    <xdr:col>3</xdr:col>
                    <xdr:colOff>714375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26" name="Option Button 138">
              <controlPr defaultSize="0" autoFill="0" autoLine="0" autoPict="0">
                <anchor moveWithCells="1">
                  <from>
                    <xdr:col>4</xdr:col>
                    <xdr:colOff>495300</xdr:colOff>
                    <xdr:row>15</xdr:row>
                    <xdr:rowOff>47625</xdr:rowOff>
                  </from>
                  <to>
                    <xdr:col>4</xdr:col>
                    <xdr:colOff>723900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27" name="Option Button 139">
              <controlPr defaultSize="0" autoFill="0" autoLine="0" autoPict="0">
                <anchor moveWithCells="1">
                  <from>
                    <xdr:col>5</xdr:col>
                    <xdr:colOff>514350</xdr:colOff>
                    <xdr:row>15</xdr:row>
                    <xdr:rowOff>57150</xdr:rowOff>
                  </from>
                  <to>
                    <xdr:col>5</xdr:col>
                    <xdr:colOff>742950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28" name="Group Box 141">
              <controlPr defaultSize="0" autoFill="0" autoPict="0" altText="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29" name="Option Button 142">
              <controlPr defaultSize="0" autoFill="0" autoLine="0" autoPict="0">
                <anchor moveWithCells="1">
                  <from>
                    <xdr:col>3</xdr:col>
                    <xdr:colOff>495300</xdr:colOff>
                    <xdr:row>16</xdr:row>
                    <xdr:rowOff>47625</xdr:rowOff>
                  </from>
                  <to>
                    <xdr:col>3</xdr:col>
                    <xdr:colOff>723900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30" name="Option Button 143">
              <controlPr defaultSize="0" autoFill="0" autoLine="0" autoPict="0">
                <anchor moveWithCells="1">
                  <from>
                    <xdr:col>4</xdr:col>
                    <xdr:colOff>495300</xdr:colOff>
                    <xdr:row>16</xdr:row>
                    <xdr:rowOff>47625</xdr:rowOff>
                  </from>
                  <to>
                    <xdr:col>4</xdr:col>
                    <xdr:colOff>723900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31" name="Option Button 144">
              <controlPr defaultSize="0" autoFill="0" autoLine="0" autoPict="0">
                <anchor moveWithCells="1">
                  <from>
                    <xdr:col>5</xdr:col>
                    <xdr:colOff>514350</xdr:colOff>
                    <xdr:row>16</xdr:row>
                    <xdr:rowOff>57150</xdr:rowOff>
                  </from>
                  <to>
                    <xdr:col>5</xdr:col>
                    <xdr:colOff>742950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32" name="Group Box 146">
              <controlPr defaultSize="0" autoFill="0" autoPict="0" altText="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33" name="Option Button 147">
              <controlPr defaultSize="0" autoFill="0" autoLine="0" autoPict="0">
                <anchor moveWithCells="1">
                  <from>
                    <xdr:col>3</xdr:col>
                    <xdr:colOff>485775</xdr:colOff>
                    <xdr:row>17</xdr:row>
                    <xdr:rowOff>47625</xdr:rowOff>
                  </from>
                  <to>
                    <xdr:col>3</xdr:col>
                    <xdr:colOff>714375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34" name="Option Button 148">
              <controlPr defaultSize="0" autoFill="0" autoLine="0" autoPict="0">
                <anchor moveWithCells="1">
                  <from>
                    <xdr:col>4</xdr:col>
                    <xdr:colOff>495300</xdr:colOff>
                    <xdr:row>17</xdr:row>
                    <xdr:rowOff>47625</xdr:rowOff>
                  </from>
                  <to>
                    <xdr:col>4</xdr:col>
                    <xdr:colOff>723900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35" name="Option Button 149">
              <controlPr defaultSize="0" autoFill="0" autoLine="0" autoPict="0">
                <anchor moveWithCells="1">
                  <from>
                    <xdr:col>5</xdr:col>
                    <xdr:colOff>514350</xdr:colOff>
                    <xdr:row>17</xdr:row>
                    <xdr:rowOff>57150</xdr:rowOff>
                  </from>
                  <to>
                    <xdr:col>5</xdr:col>
                    <xdr:colOff>742950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36" name="Group Box 153">
              <controlPr defaultSize="0" autoFill="0" autoPict="0" altText="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37" name="Option Button 154">
              <controlPr defaultSize="0" autoFill="0" autoLine="0" autoPict="0">
                <anchor moveWithCells="1">
                  <from>
                    <xdr:col>3</xdr:col>
                    <xdr:colOff>485775</xdr:colOff>
                    <xdr:row>4</xdr:row>
                    <xdr:rowOff>47625</xdr:rowOff>
                  </from>
                  <to>
                    <xdr:col>3</xdr:col>
                    <xdr:colOff>714375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38" name="Option Button 155">
              <controlPr defaultSize="0" autoFill="0" autoLine="0" autoPict="0">
                <anchor moveWithCells="1">
                  <from>
                    <xdr:col>4</xdr:col>
                    <xdr:colOff>495300</xdr:colOff>
                    <xdr:row>4</xdr:row>
                    <xdr:rowOff>47625</xdr:rowOff>
                  </from>
                  <to>
                    <xdr:col>4</xdr:col>
                    <xdr:colOff>723900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39" name="Option Button 156">
              <controlPr defaultSize="0" autoFill="0" autoLine="0" autoPict="0">
                <anchor moveWithCells="1">
                  <from>
                    <xdr:col>5</xdr:col>
                    <xdr:colOff>514350</xdr:colOff>
                    <xdr:row>4</xdr:row>
                    <xdr:rowOff>57150</xdr:rowOff>
                  </from>
                  <to>
                    <xdr:col>5</xdr:col>
                    <xdr:colOff>742950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40" name="Group Box 157">
              <controlPr defaultSize="0" autoFill="0" autoPict="0" altText="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41" name="Option Button 158">
              <controlPr defaultSize="0" autoFill="0" autoLine="0" autoPict="0">
                <anchor moveWithCells="1">
                  <from>
                    <xdr:col>3</xdr:col>
                    <xdr:colOff>485775</xdr:colOff>
                    <xdr:row>18</xdr:row>
                    <xdr:rowOff>47625</xdr:rowOff>
                  </from>
                  <to>
                    <xdr:col>3</xdr:col>
                    <xdr:colOff>714375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42" name="Option Button 159">
              <controlPr defaultSize="0" autoFill="0" autoLine="0" autoPict="0">
                <anchor moveWithCells="1">
                  <from>
                    <xdr:col>4</xdr:col>
                    <xdr:colOff>495300</xdr:colOff>
                    <xdr:row>18</xdr:row>
                    <xdr:rowOff>47625</xdr:rowOff>
                  </from>
                  <to>
                    <xdr:col>4</xdr:col>
                    <xdr:colOff>723900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43" name="Option Button 160">
              <controlPr defaultSize="0" autoFill="0" autoLine="0" autoPict="0">
                <anchor moveWithCells="1">
                  <from>
                    <xdr:col>5</xdr:col>
                    <xdr:colOff>514350</xdr:colOff>
                    <xdr:row>18</xdr:row>
                    <xdr:rowOff>57150</xdr:rowOff>
                  </from>
                  <to>
                    <xdr:col>5</xdr:col>
                    <xdr:colOff>742950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44" name="Group Box 161">
              <controlPr defaultSize="0" autoFill="0" autoPict="0" altText="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45" name="Option Button 162">
              <controlPr defaultSize="0" autoFill="0" autoLine="0" autoPict="0">
                <anchor moveWithCells="1">
                  <from>
                    <xdr:col>3</xdr:col>
                    <xdr:colOff>485775</xdr:colOff>
                    <xdr:row>12</xdr:row>
                    <xdr:rowOff>47625</xdr:rowOff>
                  </from>
                  <to>
                    <xdr:col>3</xdr:col>
                    <xdr:colOff>714375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46" name="Option Button 163">
              <controlPr defaultSize="0" autoFill="0" autoLine="0" autoPict="0">
                <anchor moveWithCells="1">
                  <from>
                    <xdr:col>4</xdr:col>
                    <xdr:colOff>495300</xdr:colOff>
                    <xdr:row>12</xdr:row>
                    <xdr:rowOff>47625</xdr:rowOff>
                  </from>
                  <to>
                    <xdr:col>4</xdr:col>
                    <xdr:colOff>723900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47" name="Option Button 164">
              <controlPr defaultSize="0" autoFill="0" autoLine="0" autoPict="0">
                <anchor moveWithCells="1">
                  <from>
                    <xdr:col>5</xdr:col>
                    <xdr:colOff>514350</xdr:colOff>
                    <xdr:row>12</xdr:row>
                    <xdr:rowOff>57150</xdr:rowOff>
                  </from>
                  <to>
                    <xdr:col>5</xdr:col>
                    <xdr:colOff>742950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48" name="Group Box 165">
              <controlPr defaultSize="0" autoFill="0" autoPict="0" altText="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49" name="Option Button 166">
              <controlPr defaultSize="0" autoFill="0" autoLine="0" autoPict="0">
                <anchor moveWithCells="1">
                  <from>
                    <xdr:col>3</xdr:col>
                    <xdr:colOff>485775</xdr:colOff>
                    <xdr:row>13</xdr:row>
                    <xdr:rowOff>47625</xdr:rowOff>
                  </from>
                  <to>
                    <xdr:col>3</xdr:col>
                    <xdr:colOff>714375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50" name="Option Button 167">
              <controlPr defaultSize="0" autoFill="0" autoLine="0" autoPict="0">
                <anchor moveWithCells="1">
                  <from>
                    <xdr:col>4</xdr:col>
                    <xdr:colOff>495300</xdr:colOff>
                    <xdr:row>13</xdr:row>
                    <xdr:rowOff>47625</xdr:rowOff>
                  </from>
                  <to>
                    <xdr:col>4</xdr:col>
                    <xdr:colOff>723900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51" name="Option Button 168">
              <controlPr defaultSize="0" autoFill="0" autoLine="0" autoPict="0">
                <anchor moveWithCells="1">
                  <from>
                    <xdr:col>5</xdr:col>
                    <xdr:colOff>514350</xdr:colOff>
                    <xdr:row>13</xdr:row>
                    <xdr:rowOff>57150</xdr:rowOff>
                  </from>
                  <to>
                    <xdr:col>5</xdr:col>
                    <xdr:colOff>742950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52" name="Group Box 169">
              <controlPr defaultSize="0" autoFill="0" autoPict="0" altText="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53" name="Option Button 170">
              <controlPr defaultSize="0" autoFill="0" autoLine="0" autoPict="0">
                <anchor moveWithCells="1">
                  <from>
                    <xdr:col>3</xdr:col>
                    <xdr:colOff>485775</xdr:colOff>
                    <xdr:row>14</xdr:row>
                    <xdr:rowOff>47625</xdr:rowOff>
                  </from>
                  <to>
                    <xdr:col>3</xdr:col>
                    <xdr:colOff>714375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54" name="Option Button 171">
              <controlPr defaultSize="0" autoFill="0" autoLine="0" autoPict="0">
                <anchor moveWithCells="1">
                  <from>
                    <xdr:col>4</xdr:col>
                    <xdr:colOff>495300</xdr:colOff>
                    <xdr:row>14</xdr:row>
                    <xdr:rowOff>47625</xdr:rowOff>
                  </from>
                  <to>
                    <xdr:col>4</xdr:col>
                    <xdr:colOff>723900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55" name="Option Button 172">
              <controlPr defaultSize="0" autoFill="0" autoLine="0" autoPict="0">
                <anchor moveWithCells="1">
                  <from>
                    <xdr:col>5</xdr:col>
                    <xdr:colOff>514350</xdr:colOff>
                    <xdr:row>14</xdr:row>
                    <xdr:rowOff>57150</xdr:rowOff>
                  </from>
                  <to>
                    <xdr:col>5</xdr:col>
                    <xdr:colOff>742950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56" name="Group Box 174">
              <controlPr defaultSize="0" autoFill="0" autoPict="0" altText="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57" name="Option Button 175">
              <controlPr defaultSize="0" autoFill="0" autoLine="0" autoPict="0">
                <anchor moveWithCells="1">
                  <from>
                    <xdr:col>3</xdr:col>
                    <xdr:colOff>495300</xdr:colOff>
                    <xdr:row>5</xdr:row>
                    <xdr:rowOff>47625</xdr:rowOff>
                  </from>
                  <to>
                    <xdr:col>3</xdr:col>
                    <xdr:colOff>723900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58" name="Option Button 176">
              <controlPr defaultSize="0" autoFill="0" autoLine="0" autoPict="0">
                <anchor moveWithCells="1">
                  <from>
                    <xdr:col>4</xdr:col>
                    <xdr:colOff>495300</xdr:colOff>
                    <xdr:row>5</xdr:row>
                    <xdr:rowOff>47625</xdr:rowOff>
                  </from>
                  <to>
                    <xdr:col>4</xdr:col>
                    <xdr:colOff>723900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59" name="Option Button 177">
              <controlPr defaultSize="0" autoFill="0" autoLine="0" autoPict="0">
                <anchor moveWithCells="1">
                  <from>
                    <xdr:col>5</xdr:col>
                    <xdr:colOff>514350</xdr:colOff>
                    <xdr:row>5</xdr:row>
                    <xdr:rowOff>57150</xdr:rowOff>
                  </from>
                  <to>
                    <xdr:col>5</xdr:col>
                    <xdr:colOff>742950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60" name="Group Box 178">
              <controlPr defaultSize="0" autoFill="0" autoPict="0" altText="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61" name="Option Button 179">
              <controlPr defaultSize="0" autoFill="0" autoLine="0" autoPict="0">
                <anchor moveWithCells="1">
                  <from>
                    <xdr:col>3</xdr:col>
                    <xdr:colOff>495300</xdr:colOff>
                    <xdr:row>6</xdr:row>
                    <xdr:rowOff>47625</xdr:rowOff>
                  </from>
                  <to>
                    <xdr:col>3</xdr:col>
                    <xdr:colOff>723900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62" name="Option Button 180">
              <controlPr defaultSize="0" autoFill="0" autoLine="0" autoPict="0">
                <anchor moveWithCells="1">
                  <from>
                    <xdr:col>4</xdr:col>
                    <xdr:colOff>495300</xdr:colOff>
                    <xdr:row>6</xdr:row>
                    <xdr:rowOff>47625</xdr:rowOff>
                  </from>
                  <to>
                    <xdr:col>4</xdr:col>
                    <xdr:colOff>723900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63" name="Option Button 181">
              <controlPr defaultSize="0" autoFill="0" autoLine="0" autoPict="0">
                <anchor moveWithCells="1">
                  <from>
                    <xdr:col>5</xdr:col>
                    <xdr:colOff>514350</xdr:colOff>
                    <xdr:row>6</xdr:row>
                    <xdr:rowOff>57150</xdr:rowOff>
                  </from>
                  <to>
                    <xdr:col>5</xdr:col>
                    <xdr:colOff>742950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B2:E6"/>
  <sheetViews>
    <sheetView showGridLines="0" workbookViewId="0"/>
  </sheetViews>
  <sheetFormatPr defaultRowHeight="15" x14ac:dyDescent="0.25"/>
  <cols>
    <col min="2" max="2" width="7.140625" style="6" customWidth="1"/>
    <col min="3" max="4" width="38.7109375" style="6" customWidth="1"/>
    <col min="5" max="5" width="38.7109375" customWidth="1"/>
  </cols>
  <sheetData>
    <row r="2" spans="2:5" ht="129" customHeight="1" x14ac:dyDescent="0.25">
      <c r="B2" s="18" t="s">
        <v>53</v>
      </c>
      <c r="C2" s="16" t="str">
        <f>IF(AND(IF('Simulador Eixo Horizontal'!C53="abaixo do esperado","X","")="X",'Simulador Eixo Vertical'!D25="x"),"X","")</f>
        <v/>
      </c>
      <c r="D2" s="15" t="str">
        <f>IF(AND(IF('Simulador Eixo Horizontal'!C53="dentro do esperado","X","")="X",'Simulador Eixo Vertical'!D25="x"),"X","")</f>
        <v/>
      </c>
      <c r="E2" s="15" t="str">
        <f>IF(AND(IF('Simulador Eixo Horizontal'!C53="acima do esperado","X","")="X",'Simulador Eixo Vertical'!D25="x"),"X","")</f>
        <v/>
      </c>
    </row>
    <row r="3" spans="2:5" ht="129" customHeight="1" x14ac:dyDescent="0.25">
      <c r="B3" s="18" t="s">
        <v>52</v>
      </c>
      <c r="C3" s="16" t="str">
        <f>IF(AND(IF('Simulador Eixo Horizontal'!C53="abaixo do esperado","X","")="X",'Simulador Eixo Vertical'!D24="x"),"X","")</f>
        <v/>
      </c>
      <c r="D3" s="14" t="str">
        <f>IF(AND(IF('Simulador Eixo Horizontal'!C53="dentro do esperado","X","")="X",'Simulador Eixo Vertical'!D24="x"),"X","")</f>
        <v/>
      </c>
      <c r="E3" s="15" t="str">
        <f>IF(AND(IF('Simulador Eixo Horizontal'!C53="acima do esperado","X","")="X",'Simulador Eixo Vertical'!D24="x"),"X","")</f>
        <v/>
      </c>
    </row>
    <row r="4" spans="2:5" ht="129" customHeight="1" x14ac:dyDescent="0.25">
      <c r="B4" s="18" t="s">
        <v>51</v>
      </c>
      <c r="C4" s="17" t="str">
        <f>IF(AND(IF('Simulador Eixo Horizontal'!C53="abaixo do esperado","X","")="X",'Simulador Eixo Vertical'!D23="x"),"X","")</f>
        <v/>
      </c>
      <c r="D4" s="14" t="str">
        <f>IF(AND(IF('Simulador Eixo Horizontal'!C53="dentro do esperado","X","")="X",'Simulador Eixo Vertical'!D23="x"),"X","")</f>
        <v/>
      </c>
      <c r="E4" s="14" t="str">
        <f>IF(AND(IF('Simulador Eixo Horizontal'!C53="acima do esperado","X","")="X",'Simulador Eixo Vertical'!D23="x"),"X","")</f>
        <v/>
      </c>
    </row>
    <row r="6" spans="2:5" x14ac:dyDescent="0.25">
      <c r="C6" s="5" t="s">
        <v>44</v>
      </c>
      <c r="D6" s="5" t="s">
        <v>54</v>
      </c>
      <c r="E6" s="5" t="s">
        <v>45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Plan1</vt:lpstr>
      <vt:lpstr>Réguas</vt:lpstr>
      <vt:lpstr>Det. Eixo Horizontal</vt:lpstr>
      <vt:lpstr>Simulador Eixo Horizontal</vt:lpstr>
      <vt:lpstr>Simulador Eixo Vertical</vt:lpstr>
      <vt:lpstr>Box Final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jessicaf</dc:creator>
  <cp:lastModifiedBy>jessicaf</cp:lastModifiedBy>
  <dcterms:created xsi:type="dcterms:W3CDTF">2014-09-23T18:42:01Z</dcterms:created>
  <dcterms:modified xsi:type="dcterms:W3CDTF">2015-02-04T13:16:41Z</dcterms:modified>
</cp:coreProperties>
</file>